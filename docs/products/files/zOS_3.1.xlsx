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コマンド" sheetId="2" state="visible" r:id="rId2"/>
    <sheet xmlns:r="http://schemas.openxmlformats.org/officeDocument/2006/relationships" name="02_PARMLIB" sheetId="3" state="visible" r:id="rId3"/>
    <sheet xmlns:r="http://schemas.openxmlformats.org/officeDocument/2006/relationships" name="02_tunable" sheetId="4" state="visible" r:id="rId4"/>
    <sheet xmlns:r="http://schemas.openxmlformats.org/officeDocument/2006/relationships" name="03_用語集" sheetId="5" state="visible" r:id="rId5"/>
    <sheet xmlns:r="http://schemas.openxmlformats.org/officeDocument/2006/relationships" name="04_プレイブック" sheetId="6" state="visible" r:id="rId6"/>
    <sheet xmlns:r="http://schemas.openxmlformats.org/officeDocument/2006/relationships" name="05_トラブル早見表" sheetId="7" state="visible" r:id="rId7"/>
    <sheet xmlns:r="http://schemas.openxmlformats.org/officeDocument/2006/relationships" name="06_マニュアル参照マップ" sheetId="8" state="visible" r:id="rId8"/>
    <sheet xmlns:r="http://schemas.openxmlformats.org/officeDocument/2006/relationships" name="07_出典一覧" sheetId="9" state="visible" r:id="rId9"/>
    <sheet xmlns:r="http://schemas.openxmlformats.org/officeDocument/2006/relationships" name="08_設定手順" sheetId="10" state="visible" r:id="rId10"/>
    <sheet xmlns:r="http://schemas.openxmlformats.org/officeDocument/2006/relationships" name="09_障害対応" sheetId="11" state="visible" r:id="rId11"/>
    <sheet xmlns:r="http://schemas.openxmlformats.org/officeDocument/2006/relationships" name="10_対象外項目" sheetId="12" state="visible" r:id="rId12"/>
    <sheet xmlns:r="http://schemas.openxmlformats.org/officeDocument/2006/relationships" name="11_シナリオ別ガイド" sheetId="13" state="visible" r:id="rId13"/>
    <sheet xmlns:r="http://schemas.openxmlformats.org/officeDocument/2006/relationships" name="12_ユースケース集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80" customWidth="1" min="2" max="2"/>
    <col width="30" customWidth="1" min="3" max="3"/>
  </cols>
  <sheetData>
    <row r="1">
      <c r="A1" s="1" t="inlineStr">
        <is>
          <t>項目</t>
        </is>
      </c>
      <c r="B1" s="1" t="inlineStr">
        <is>
          <t>内容</t>
        </is>
      </c>
      <c r="C1" s="1" t="inlineStr">
        <is>
          <t>出典</t>
        </is>
      </c>
    </row>
    <row r="2">
      <c r="A2" s="2" t="inlineStr">
        <is>
          <t>製品名</t>
        </is>
      </c>
      <c r="B2" s="2" t="inlineStr">
        <is>
          <t>IBM z/OS 3.1</t>
        </is>
      </c>
      <c r="C2" s="2" t="inlineStr">
        <is>
          <t>S_ZOS_Intro</t>
        </is>
      </c>
    </row>
    <row r="3">
      <c r="A3" s="2" t="inlineStr">
        <is>
          <t>ベンダ</t>
        </is>
      </c>
      <c r="B3" s="2" t="inlineStr">
        <is>
          <t>IBM Corporation</t>
        </is>
      </c>
      <c r="C3" s="2" t="inlineStr">
        <is>
          <t>S_ZOS_Intro</t>
        </is>
      </c>
    </row>
    <row r="4">
      <c r="A4" s="2" t="inlineStr">
        <is>
          <t>最新バージョン</t>
        </is>
      </c>
      <c r="B4" s="2" t="inlineStr">
        <is>
          <t>z/OS 3.1（2023-09 リリース、2026 時点も主流）</t>
        </is>
      </c>
      <c r="C4" s="2" t="inlineStr">
        <is>
          <t>S_ZOS_WhatsNew</t>
        </is>
      </c>
    </row>
    <row r="5">
      <c r="A5" s="2" t="inlineStr">
        <is>
          <t>対応アーキテクチャ</t>
        </is>
      </c>
      <c r="B5" s="2" t="inlineStr">
        <is>
          <t>IBM Z（z14 以降）</t>
        </is>
      </c>
      <c r="C5" s="2" t="inlineStr">
        <is>
          <t>S_ZOS_Intro</t>
        </is>
      </c>
    </row>
    <row r="6">
      <c r="A6" s="2" t="inlineStr">
        <is>
          <t>製品の役割</t>
        </is>
      </c>
      <c r="B6" s="2" t="inlineStr">
        <is>
          <t>IBM Z メインフレーム上の 64-bit エンタープライズ OS</t>
        </is>
      </c>
      <c r="C6" s="2" t="inlineStr">
        <is>
          <t>S_ZOS_Intro</t>
        </is>
      </c>
    </row>
    <row r="7">
      <c r="A7" s="2" t="inlineStr">
        <is>
          <t>想定読者</t>
        </is>
      </c>
      <c r="B7" s="2" t="inlineStr">
        <is>
          <t>z/OS システムプログラマ、オペレータ、運用者</t>
        </is>
      </c>
      <c r="C7" s="2" t="inlineStr">
        <is>
          <t>S_ZOS_MVS_Init</t>
        </is>
      </c>
    </row>
    <row r="8">
      <c r="A8" s="2" t="inlineStr">
        <is>
          <t>主要サブシステム</t>
        </is>
      </c>
      <c r="B8" s="2" t="inlineStr">
        <is>
          <t>JES2/JES3, RACF, USS, TCP/IP, VTAM, SMS, SMF, WLM</t>
        </is>
      </c>
      <c r="C8" s="2" t="inlineStr">
        <is>
          <t>S_ZOS_Intro</t>
        </is>
      </c>
    </row>
    <row r="9">
      <c r="A9" s="2" t="inlineStr">
        <is>
          <t>掲載コマンド</t>
        </is>
      </c>
      <c r="B9" s="2" t="inlineStr">
        <is>
          <t>45 件（オペレータ/JES2/TSO/SDSF/JCL/USS/SMP/E）</t>
        </is>
      </c>
      <c r="C9" s="2" t="inlineStr">
        <is>
          <t>S_ZOS_Review</t>
        </is>
      </c>
    </row>
    <row r="10">
      <c r="A10" s="2" t="inlineStr">
        <is>
          <t>掲載設定値</t>
        </is>
      </c>
      <c r="B10" s="2" t="inlineStr">
        <is>
          <t>PARMLIB 19 メンバ + tunable 20 = 39 件</t>
        </is>
      </c>
      <c r="C10" s="2" t="inlineStr">
        <is>
          <t>S_ZOS_Review</t>
        </is>
      </c>
    </row>
    <row r="11">
      <c r="A11" s="2" t="inlineStr">
        <is>
          <t>掲載用語</t>
        </is>
      </c>
      <c r="B11" s="2" t="inlineStr">
        <is>
          <t>70 件</t>
        </is>
      </c>
      <c r="C11" s="2" t="inlineStr">
        <is>
          <t>S_ZOS_Review</t>
        </is>
      </c>
    </row>
    <row r="12">
      <c r="A12" s="2" t="inlineStr">
        <is>
          <t>掲載手順</t>
        </is>
      </c>
      <c r="B12" s="2" t="inlineStr">
        <is>
          <t>設定 18 / 障害対応 18</t>
        </is>
      </c>
      <c r="C12" s="2" t="inlineStr">
        <is>
          <t>S_ZOS_Review</t>
        </is>
      </c>
    </row>
    <row r="13">
      <c r="A13" s="2" t="inlineStr">
        <is>
          <t>掲載シナリオ</t>
        </is>
      </c>
      <c r="B13" s="2" t="inlineStr">
        <is>
          <t>6 本（業務全体の俯瞰）</t>
        </is>
      </c>
      <c r="C13" s="2" t="inlineStr">
        <is>
          <t>S_ZOS_Review</t>
        </is>
      </c>
    </row>
    <row r="14">
      <c r="A14" s="2" t="inlineStr">
        <is>
          <t>掲載ユースケース</t>
        </is>
      </c>
      <c r="B14" s="2" t="inlineStr">
        <is>
          <t>30 件（独立完結の手順）</t>
        </is>
      </c>
      <c r="C14" s="2" t="inlineStr">
        <is>
          <t>S_ZOS_Review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40" customWidth="1" min="3" max="3"/>
    <col width="35" customWidth="1" min="4" max="4"/>
    <col width="50" customWidth="1" min="5" max="5"/>
    <col width="40" customWidth="1" min="6" max="6"/>
    <col width="25" customWidth="1" min="7" max="7"/>
    <col width="22" customWidth="1" min="8" max="8"/>
    <col width="16" customWidth="1" min="9" max="9"/>
  </cols>
  <sheetData>
    <row r="1">
      <c r="A1" s="1" t="inlineStr">
        <is>
          <t>コマンド</t>
        </is>
      </c>
      <c r="B1" s="1" t="inlineStr">
        <is>
          <t>カテゴリ</t>
        </is>
      </c>
      <c r="C1" s="1" t="inlineStr">
        <is>
          <t>用途</t>
        </is>
      </c>
      <c r="D1" s="1" t="inlineStr">
        <is>
          <t>構文</t>
        </is>
      </c>
      <c r="E1" s="1" t="inlineStr">
        <is>
          <t>典型例</t>
        </is>
      </c>
      <c r="F1" s="1" t="inlineStr">
        <is>
          <t>注意点</t>
        </is>
      </c>
      <c r="G1" s="1" t="inlineStr">
        <is>
          <t>関連手順</t>
        </is>
      </c>
      <c r="H1" s="1" t="inlineStr">
        <is>
          <t>関連用語</t>
        </is>
      </c>
      <c r="I1" s="1" t="inlineStr">
        <is>
          <t>出典</t>
        </is>
      </c>
    </row>
    <row r="2">
      <c r="A2" s="2" t="inlineStr">
        <is>
          <t>D A,L</t>
        </is>
      </c>
      <c r="B2" s="2" t="inlineStr">
        <is>
          <t>オペレータ</t>
        </is>
      </c>
      <c r="C2" s="2" t="inlineStr">
        <is>
          <t>アクティブな全アドレス空間（ジョブ・STC・TSU）を表示。</t>
        </is>
      </c>
      <c r="D2" s="2" t="inlineStr">
        <is>
          <t>D A,L  または  DISPLAY A,LIST</t>
        </is>
      </c>
      <c r="E2" s="2" t="inlineStr">
        <is>
          <t>D A,L
（出力）IEE114I 12.30.45 ACTIVITY 999
 JOBS    M/S    TS USERS    SYSAS   INITS   ACTIVE/MAX
   45    103         12       30      18      45/200</t>
        </is>
      </c>
      <c r="F2" s="2" t="inlineStr">
        <is>
          <t>システムの稼働状況把握の基本コマンド。SDSF DA パネルでも同等情報が見られる。</t>
        </is>
      </c>
      <c r="G2" s="2" t="inlineStr">
        <is>
          <t>inc-system-hung</t>
        </is>
      </c>
      <c r="H2" s="2" t="inlineStr">
        <is>
          <t>Address Space, STC</t>
        </is>
      </c>
      <c r="I2" s="2" t="inlineStr">
        <is>
          <t>S_ZOS_MVS_Cmds</t>
        </is>
      </c>
    </row>
    <row r="3">
      <c r="A3" s="2" t="inlineStr">
        <is>
          <t>D R</t>
        </is>
      </c>
      <c r="B3" s="2" t="inlineStr">
        <is>
          <t>オペレータ</t>
        </is>
      </c>
      <c r="C3" s="2" t="inlineStr">
        <is>
          <t>未応答の WTOR メッセージ一覧を表示。</t>
        </is>
      </c>
      <c r="D3" s="2" t="inlineStr">
        <is>
          <t>D R[,L]  または  DISPLAY R</t>
        </is>
      </c>
      <c r="E3" s="2" t="inlineStr">
        <is>
          <t>D R,L
（出力）IEE112I 12.30.50 PENDING REQUESTS 999
 RM=0      IM=0      CEM=0     EM=2     RU=0
  ID:0001  R, IEC502E REPLY ...</t>
        </is>
      </c>
      <c r="F3" s="2" t="inlineStr">
        <is>
          <t>WTOR は応答するまでシステムが特定処理で待ち状態になる。R 0001,U 等で応答。</t>
        </is>
      </c>
      <c r="G3" s="2" t="inlineStr">
        <is>
          <t>inc-wtor-response</t>
        </is>
      </c>
      <c r="H3" s="2" t="inlineStr">
        <is>
          <t>WTOR</t>
        </is>
      </c>
      <c r="I3" s="2" t="inlineStr">
        <is>
          <t>S_ZOS_MVS_Cmds</t>
        </is>
      </c>
    </row>
    <row r="4">
      <c r="A4" s="2" t="inlineStr">
        <is>
          <t>D IPLINFO</t>
        </is>
      </c>
      <c r="B4" s="2" t="inlineStr">
        <is>
          <t>オペレータ</t>
        </is>
      </c>
      <c r="C4" s="2" t="inlineStr">
        <is>
          <t>IPL 関連情報（IPL 日時、IODF、PARMLIB SUFFIX 等）を表示。</t>
        </is>
      </c>
      <c r="D4" s="2" t="inlineStr">
        <is>
          <t>D IPLINFO</t>
        </is>
      </c>
      <c r="E4" s="2" t="inlineStr">
        <is>
          <t>D IPLINFO
（出力）IEE254I 12.31.00 IPLINFO DISPLAY 999
 SYSTEM IPLED AT 06.30.15 ON 05/04/2026
 RELEASE z/OS 03.01.00 ...</t>
        </is>
      </c>
      <c r="F4" s="2" t="inlineStr">
        <is>
          <t>システムの起動時刻、IODF、SYSRES、PARMLIB 構成を一目で確認。</t>
        </is>
      </c>
      <c r="G4" s="2" t="inlineStr">
        <is>
          <t>cfg-parmlib-update</t>
        </is>
      </c>
      <c r="H4" s="2" t="inlineStr">
        <is>
          <t>IPL, NIP</t>
        </is>
      </c>
      <c r="I4" s="2" t="inlineStr">
        <is>
          <t>S_ZOS_MVS_Cmds</t>
        </is>
      </c>
    </row>
    <row r="5">
      <c r="A5" s="2" t="inlineStr">
        <is>
          <t>D PARMLIB</t>
        </is>
      </c>
      <c r="B5" s="2" t="inlineStr">
        <is>
          <t>オペレータ</t>
        </is>
      </c>
      <c r="C5" s="2" t="inlineStr">
        <is>
          <t>現在使用中の PARMLIB データセットチェーンを表示。</t>
        </is>
      </c>
      <c r="D5" s="2" t="inlineStr">
        <is>
          <t>D PARMLIB</t>
        </is>
      </c>
      <c r="E5" s="2" t="inlineStr">
        <is>
          <t>D PARMLIB
（出力）IEE251I 12.32.00 PARMLIB DISPLAY 999
 PARMLIB DATA SETS
  ENTRY FLAGS  VOLUME  DATA SET
   1     S     SYSRES  SYS1.PARMLIB</t>
        </is>
      </c>
      <c r="F5" s="2" t="inlineStr">
        <is>
          <t>LOADxx で定義された PARMLIB チェーンの順序確認。</t>
        </is>
      </c>
      <c r="G5" s="2" t="inlineStr">
        <is>
          <t>cfg-parmlib-update</t>
        </is>
      </c>
      <c r="H5" s="2" t="inlineStr">
        <is>
          <t>PARMLIB, LOADxx</t>
        </is>
      </c>
      <c r="I5" s="2" t="inlineStr">
        <is>
          <t>S_ZOS_MVS_Cmds</t>
        </is>
      </c>
    </row>
    <row r="6">
      <c r="A6" s="2" t="inlineStr">
        <is>
          <t>D ASM</t>
        </is>
      </c>
      <c r="B6" s="2" t="inlineStr">
        <is>
          <t>オペレータ</t>
        </is>
      </c>
      <c r="C6" s="2" t="inlineStr">
        <is>
          <t>ページデータセット（PLPA, COMMON, LOCAL）の使用率表示。</t>
        </is>
      </c>
      <c r="D6" s="2" t="inlineStr">
        <is>
          <t>D ASM</t>
        </is>
      </c>
      <c r="E6" s="2" t="inlineStr">
        <is>
          <t>D ASM
（出力）IEE200I 12.32.30
 TYPE     FULL  STAT  DEV   DATASET NAME
 PLPA      30%  OK   1234  SYS1.PLPA.PAGE</t>
        </is>
      </c>
      <c r="F6" s="2" t="inlineStr">
        <is>
          <t>85%超でページング枯渇近、要拡張または LOCAL 追加。</t>
        </is>
      </c>
      <c r="G6" s="2" t="inlineStr">
        <is>
          <t>inc-paging-shortage</t>
        </is>
      </c>
      <c r="H6" s="2" t="inlineStr">
        <is>
          <t>Auxiliary Storage, PLPA</t>
        </is>
      </c>
      <c r="I6" s="2" t="inlineStr">
        <is>
          <t>S_ZOS_MVS_Cmds</t>
        </is>
      </c>
    </row>
    <row r="7">
      <c r="A7" s="2" t="inlineStr">
        <is>
          <t>D U,,,nnnn,n</t>
        </is>
      </c>
      <c r="B7" s="2" t="inlineStr">
        <is>
          <t>オペレータ</t>
        </is>
      </c>
      <c r="C7" s="2" t="inlineStr">
        <is>
          <t>デバイス（DASD/Tape/UR）の状態表示。</t>
        </is>
      </c>
      <c r="D7" s="2" t="inlineStr">
        <is>
          <t>D U,,,&lt;addr&gt;,&lt;count&gt;  または  D U,DASD,ONLINE</t>
        </is>
      </c>
      <c r="E7" s="2" t="inlineStr">
        <is>
          <t>D U,,,8000,4
（出力）UNIT TYPE STATUS    VOLSER  VOLSTATE   SS
 8000 3390 O          USR000  PRIV/RSDNT   0</t>
        </is>
      </c>
      <c r="F7" s="2" t="inlineStr">
        <is>
          <t>オフライン化や VARY 前後の状態確認に使用。</t>
        </is>
      </c>
      <c r="G7" s="2" t="inlineStr">
        <is>
          <t>cfg-device-vary</t>
        </is>
      </c>
      <c r="H7" s="2" t="inlineStr">
        <is>
          <t>DASD, UCB</t>
        </is>
      </c>
      <c r="I7" s="2" t="inlineStr">
        <is>
          <t>S_ZOS_MVS_Cmds</t>
        </is>
      </c>
    </row>
    <row r="8">
      <c r="A8" s="2" t="inlineStr">
        <is>
          <t>V ONLINE / V OFFLINE</t>
        </is>
      </c>
      <c r="B8" s="2" t="inlineStr">
        <is>
          <t>オペレータ</t>
        </is>
      </c>
      <c r="C8" s="2" t="inlineStr">
        <is>
          <t>デバイスをオンライン/オフライン化。</t>
        </is>
      </c>
      <c r="D8" s="2" t="inlineStr">
        <is>
          <t>V &lt;addr&gt;,ONLINE / V &lt;addr&gt;,OFFLINE</t>
        </is>
      </c>
      <c r="E8" s="2" t="inlineStr">
        <is>
          <t>V 8001,OFFLINE
（応答）IEE302I 8001  OFFLINE</t>
        </is>
      </c>
      <c r="F8" s="2" t="inlineStr">
        <is>
          <t>DASD オフライン化はマウント済データセット使用中のジョブに影響。事前に DC で確認。</t>
        </is>
      </c>
      <c r="G8" s="2" t="inlineStr">
        <is>
          <t>cfg-device-vary</t>
        </is>
      </c>
      <c r="H8" s="2" t="inlineStr">
        <is>
          <t>DASD</t>
        </is>
      </c>
      <c r="I8" s="2" t="inlineStr">
        <is>
          <t>S_ZOS_MVS_Cmds</t>
        </is>
      </c>
    </row>
    <row r="9">
      <c r="A9" s="2" t="inlineStr">
        <is>
          <t>S &lt;procname&gt;</t>
        </is>
      </c>
      <c r="B9" s="2" t="inlineStr">
        <is>
          <t>オペレータ</t>
        </is>
      </c>
      <c r="C9" s="2" t="inlineStr">
        <is>
          <t>Started Task（STC）を起動。</t>
        </is>
      </c>
      <c r="D9" s="2" t="inlineStr">
        <is>
          <t>S &lt;procname&gt;[,JOBNAME=&lt;name&gt;][,parm=value]</t>
        </is>
      </c>
      <c r="E9" s="2" t="inlineStr">
        <is>
          <t>S TCPIP
（応答）$HASP100 TCPIP   ON STCINRDR
        IEF695I  START TCPIP   WITH JOBNAME TCPIP IS ASSIGNED ...</t>
        </is>
      </c>
      <c r="F9" s="2" t="inlineStr">
        <is>
          <t>PROCLIB 配下の &lt;procname&gt;.proc を実行。サブシステム起動の標準操作。</t>
        </is>
      </c>
      <c r="G9" s="2" t="inlineStr">
        <is>
          <t>cfg-stc-startup</t>
        </is>
      </c>
      <c r="H9" s="2" t="inlineStr">
        <is>
          <t>STC, PROCLIB</t>
        </is>
      </c>
      <c r="I9" s="2" t="inlineStr">
        <is>
          <t>S_ZOS_MVS_Cmds</t>
        </is>
      </c>
    </row>
    <row r="10">
      <c r="A10" s="2" t="inlineStr">
        <is>
          <t>P &lt;jobname&gt; / C &lt;jobname&gt;</t>
        </is>
      </c>
      <c r="B10" s="2" t="inlineStr">
        <is>
          <t>オペレータ</t>
        </is>
      </c>
      <c r="C10" s="2" t="inlineStr">
        <is>
          <t>STC を停止（P=正常、C=強制キャンセル）。</t>
        </is>
      </c>
      <c r="D10" s="2" t="inlineStr">
        <is>
          <t>P &lt;jobname&gt;  または  C &lt;jobname&gt;[,DUMP][,A=&lt;asid&gt;]</t>
        </is>
      </c>
      <c r="E10" s="2" t="inlineStr">
        <is>
          <t>P TCPIP
（応答）$HASP200 TCPIP    ENDED
        IEF404I TCPIP    - ENDED</t>
        </is>
      </c>
      <c r="F10" s="2" t="inlineStr">
        <is>
          <t>P で正常終了試行、効かなければ C で強制。-DUMP で SVC dump 取得。</t>
        </is>
      </c>
      <c r="G10" s="2" t="inlineStr">
        <is>
          <t>inc-stc-hung</t>
        </is>
      </c>
      <c r="H10" s="2" t="inlineStr">
        <is>
          <t>STC</t>
        </is>
      </c>
      <c r="I10" s="2" t="inlineStr">
        <is>
          <t>S_ZOS_MVS_Cmds</t>
        </is>
      </c>
    </row>
    <row r="11">
      <c r="A11" s="2" t="inlineStr">
        <is>
          <t>F &lt;jobname&gt;,&lt;modify cmd&gt;</t>
        </is>
      </c>
      <c r="B11" s="2" t="inlineStr">
        <is>
          <t>オペレータ</t>
        </is>
      </c>
      <c r="C11" s="2" t="inlineStr">
        <is>
          <t>STC に modify コマンドを送る（実行時パラメータ変更）。</t>
        </is>
      </c>
      <c r="D11" s="2" t="inlineStr">
        <is>
          <t>F &lt;jobname&gt;,&lt;modify cmd&gt;</t>
        </is>
      </c>
      <c r="E11" s="2" t="inlineStr">
        <is>
          <t>F TCPIP,REFRESH
F JES2,$DI</t>
        </is>
      </c>
      <c r="F11" s="2" t="inlineStr">
        <is>
          <t>サブシステム独自の modify コマンドを送信。製品ごとに対応コマンド異なる。</t>
        </is>
      </c>
      <c r="G11" s="2" t="inlineStr">
        <is>
          <t>cfg-stc-startup</t>
        </is>
      </c>
      <c r="H11" s="2" t="inlineStr">
        <is>
          <t>STC</t>
        </is>
      </c>
      <c r="I11" s="2" t="inlineStr">
        <is>
          <t>S_ZOS_MVS_Cmds</t>
        </is>
      </c>
    </row>
    <row r="12">
      <c r="A12" s="2" t="inlineStr">
        <is>
          <t>$D ACTIVE</t>
        </is>
      </c>
      <c r="B12" s="2" t="inlineStr">
        <is>
          <t>JES2</t>
        </is>
      </c>
      <c r="C12" s="2" t="inlineStr">
        <is>
          <t>JES2 のアクティブジョブ一覧を表示。</t>
        </is>
      </c>
      <c r="D12" s="2" t="inlineStr">
        <is>
          <t>$D A[CTIVE]  または  $DA</t>
        </is>
      </c>
      <c r="E12" s="2" t="inlineStr">
        <is>
          <t>$DA
（出力）$HASP608 JOB123    EXECUTING WITH HASP MEMBER=...</t>
        </is>
      </c>
      <c r="F12" s="2" t="inlineStr">
        <is>
          <t>JES2 環境での実行中ジョブ確認。SDSF DA パネルがより便利。</t>
        </is>
      </c>
      <c r="G12" s="2" t="inlineStr">
        <is>
          <t>inc-jes2-spool-full</t>
        </is>
      </c>
      <c r="H12" s="2" t="inlineStr">
        <is>
          <t>JES2</t>
        </is>
      </c>
      <c r="I12" s="2" t="inlineStr">
        <is>
          <t>S_ZOS_JES2_Cmds</t>
        </is>
      </c>
    </row>
    <row r="13">
      <c r="A13" s="2" t="inlineStr">
        <is>
          <t>$D Q</t>
        </is>
      </c>
      <c r="B13" s="2" t="inlineStr">
        <is>
          <t>JES2</t>
        </is>
      </c>
      <c r="C13" s="2" t="inlineStr">
        <is>
          <t>JES2 ジョブキューの状態（INPUT, EXEC, OUTPUT, HARDCOPY）表示。</t>
        </is>
      </c>
      <c r="D13" s="2" t="inlineStr">
        <is>
          <t>$D Q[,&lt;class&gt;]</t>
        </is>
      </c>
      <c r="E13" s="2" t="inlineStr">
        <is>
          <t>$D Q
（出力）$HASP893 SPOOL   N=4   T=DASD   ALLOCATED
        $HASP646 23.4 PERCENT SPOOL UTILIZATION</t>
        </is>
      </c>
      <c r="F13" s="2" t="inlineStr">
        <is>
          <t>スプール使用率 %SPOOL を確認。85%超で警戒、95%超で SHORT。</t>
        </is>
      </c>
      <c r="G13" s="2" t="inlineStr">
        <is>
          <t>inc-jes2-spool-full</t>
        </is>
      </c>
      <c r="H13" s="2" t="inlineStr">
        <is>
          <t>JES2 SPOOL</t>
        </is>
      </c>
      <c r="I13" s="2" t="inlineStr">
        <is>
          <t>S_ZOS_JES2_Cmds</t>
        </is>
      </c>
    </row>
    <row r="14">
      <c r="A14" s="2" t="inlineStr">
        <is>
          <t>$D SPL</t>
        </is>
      </c>
      <c r="B14" s="2" t="inlineStr">
        <is>
          <t>JES2</t>
        </is>
      </c>
      <c r="C14" s="2" t="inlineStr">
        <is>
          <t>JES2 スプールデータセット使用率表示。</t>
        </is>
      </c>
      <c r="D14" s="2" t="inlineStr">
        <is>
          <t>$D SPL[,&lt;volser&gt;]</t>
        </is>
      </c>
      <c r="E14" s="2" t="inlineStr">
        <is>
          <t>$D SPL
（出力）$HASP893 VOLUME(SPOOL1) STATUS=ACTIVE,PERCENT=23</t>
        </is>
      </c>
      <c r="F14" s="2" t="inlineStr">
        <is>
          <t>$D Q より詳細な volser 別使用率。</t>
        </is>
      </c>
      <c r="G14" s="2" t="inlineStr">
        <is>
          <t>inc-jes2-spool-full</t>
        </is>
      </c>
      <c r="H14" s="2" t="inlineStr">
        <is>
          <t>JES2 SPOOL</t>
        </is>
      </c>
      <c r="I14" s="2" t="inlineStr">
        <is>
          <t>S_ZOS_JES2_Cmds</t>
        </is>
      </c>
    </row>
    <row r="15">
      <c r="A15" s="2" t="inlineStr">
        <is>
          <t>$P J&lt;n&gt;</t>
        </is>
      </c>
      <c r="B15" s="2" t="inlineStr">
        <is>
          <t>JES2</t>
        </is>
      </c>
      <c r="C15" s="2" t="inlineStr">
        <is>
          <t>ジョブを JES2 から削除（パージ）。</t>
        </is>
      </c>
      <c r="D15" s="2" t="inlineStr">
        <is>
          <t>$P J&lt;jobnum&gt;  または  $PJ&lt;jobnum&gt;</t>
        </is>
      </c>
      <c r="E15" s="2" t="inlineStr">
        <is>
          <t>$P J12345
（応答）$HASP890 JOB(JOB12345) PURGED</t>
        </is>
      </c>
      <c r="F15" s="2" t="inlineStr">
        <is>
          <t>実行中ジョブには $C J&lt;n&gt; で先にキャンセル。</t>
        </is>
      </c>
      <c r="G15" s="2" t="inlineStr">
        <is>
          <t>inc-jes2-spool-full</t>
        </is>
      </c>
      <c r="H15" s="2" t="inlineStr">
        <is>
          <t>JES2</t>
        </is>
      </c>
      <c r="I15" s="2" t="inlineStr">
        <is>
          <t>S_ZOS_JES2_Cmds</t>
        </is>
      </c>
    </row>
    <row r="16">
      <c r="A16" s="2" t="inlineStr">
        <is>
          <t>$T A&lt;initiator&gt;</t>
        </is>
      </c>
      <c r="B16" s="2" t="inlineStr">
        <is>
          <t>JES2</t>
        </is>
      </c>
      <c r="C16" s="2" t="inlineStr">
        <is>
          <t>JES2 イニシエータの定義変更（CLASS 等）。</t>
        </is>
      </c>
      <c r="D16" s="2" t="inlineStr">
        <is>
          <t>$T A&lt;n&gt;,CLASS=&lt;classes&gt;</t>
        </is>
      </c>
      <c r="E16" s="2" t="inlineStr">
        <is>
          <t>$T A1,CLASS=AB
（応答）$HASP880 A1 ACTIVE A=12345 ...</t>
        </is>
      </c>
      <c r="F16" s="2" t="inlineStr">
        <is>
          <t>起動済イニシエータのジョブクラス変更。$DA で現状確認。</t>
        </is>
      </c>
      <c r="G16" s="2" t="inlineStr">
        <is>
          <t>cfg-jes2-init</t>
        </is>
      </c>
      <c r="H16" s="2" t="inlineStr">
        <is>
          <t>JES2 Initiator</t>
        </is>
      </c>
      <c r="I16" s="2" t="inlineStr">
        <is>
          <t>S_ZOS_JES2_Cmds</t>
        </is>
      </c>
    </row>
    <row r="17">
      <c r="A17" s="2" t="inlineStr">
        <is>
          <t>$D INITS</t>
        </is>
      </c>
      <c r="B17" s="2" t="inlineStr">
        <is>
          <t>JES2</t>
        </is>
      </c>
      <c r="C17" s="2" t="inlineStr">
        <is>
          <t>JES2 イニシエータ一覧表示。</t>
        </is>
      </c>
      <c r="D17" s="2" t="inlineStr">
        <is>
          <t>$D INITS  または  $DI</t>
        </is>
      </c>
      <c r="E17" s="2" t="inlineStr">
        <is>
          <t>$DI
（出力）$HASP800 INIT(1) STATUS=ACTIVE,CLASS=A,JOBNAME=PROD1</t>
        </is>
      </c>
      <c r="F17" s="2" t="inlineStr">
        <is>
          <t>各イニシエータの状態・受け持ちクラス・現ジョブ確認。</t>
        </is>
      </c>
      <c r="G17" s="2" t="inlineStr">
        <is>
          <t>cfg-jes2-init</t>
        </is>
      </c>
      <c r="H17" s="2" t="inlineStr">
        <is>
          <t>JES2 Initiator</t>
        </is>
      </c>
      <c r="I17" s="2" t="inlineStr">
        <is>
          <t>S_ZOS_JES2_Cmds</t>
        </is>
      </c>
    </row>
    <row r="18">
      <c r="A18" s="2" t="inlineStr">
        <is>
          <t>$T NODE</t>
        </is>
      </c>
      <c r="B18" s="2" t="inlineStr">
        <is>
          <t>JES2</t>
        </is>
      </c>
      <c r="C18" s="2" t="inlineStr">
        <is>
          <t>NJE（Network Job Entry）ノード定義変更。</t>
        </is>
      </c>
      <c r="D18" s="2" t="inlineStr">
        <is>
          <t>$T NODE(&lt;node&gt;),&lt;parm&gt;=&lt;value&gt;</t>
        </is>
      </c>
      <c r="E18" s="2" t="inlineStr">
        <is>
          <t>$T NODE(N5),NETSRV=NETSRV1</t>
        </is>
      </c>
      <c r="F18" s="2" t="inlineStr">
        <is>
          <t>NJE で他システムへジョブ転送するための設定。</t>
        </is>
      </c>
      <c r="G18" s="2" t="inlineStr">
        <is>
          <t>cfg-jes2-nje</t>
        </is>
      </c>
      <c r="H18" s="2" t="inlineStr">
        <is>
          <t>NJE</t>
        </is>
      </c>
      <c r="I18" s="2" t="inlineStr">
        <is>
          <t>S_ZOS_JES2_Cmds</t>
        </is>
      </c>
    </row>
    <row r="19">
      <c r="A19" s="2" t="inlineStr">
        <is>
          <t>$E J&lt;n&gt;</t>
        </is>
      </c>
      <c r="B19" s="2" t="inlineStr">
        <is>
          <t>JES2</t>
        </is>
      </c>
      <c r="C19" s="2" t="inlineStr">
        <is>
          <t>ジョブを再起動（restart）する。</t>
        </is>
      </c>
      <c r="D19" s="2" t="inlineStr">
        <is>
          <t>$E J&lt;jobnum&gt;</t>
        </is>
      </c>
      <c r="E19" s="2" t="inlineStr">
        <is>
          <t>$E J12345
（応答）$HASP890 JOB(JOB12345) RESTARTING ...</t>
        </is>
      </c>
      <c r="F19" s="2" t="inlineStr">
        <is>
          <t>Failed/canceled ジョブの再投入。CKPT がある場合はそこから再開。</t>
        </is>
      </c>
      <c r="G19" s="2" t="inlineStr">
        <is>
          <t>inc-job-fail</t>
        </is>
      </c>
      <c r="H19" s="2" t="inlineStr">
        <is>
          <t>JES2</t>
        </is>
      </c>
      <c r="I19" s="2" t="inlineStr">
        <is>
          <t>S_ZOS_JES2_Cmds</t>
        </is>
      </c>
    </row>
    <row r="20">
      <c r="A20" s="2" t="inlineStr">
        <is>
          <t>LOGON</t>
        </is>
      </c>
      <c r="B20" s="2" t="inlineStr">
        <is>
          <t>TSO/E</t>
        </is>
      </c>
      <c r="C20" s="2" t="inlineStr">
        <is>
          <t>TSO/E にログオン。</t>
        </is>
      </c>
      <c r="D20" s="2" t="inlineStr">
        <is>
          <t>LOGON &lt;userid&gt;[/&lt;password&gt;][/NEW_PWD][PROC(&lt;proc&gt;)]</t>
        </is>
      </c>
      <c r="E20" s="2" t="inlineStr">
        <is>
          <t>LOGON USER01
（応答）IKJ56455I USER01  LOGON IN PROGRESS AT 12.40.00 ON 05/04/2026</t>
        </is>
      </c>
      <c r="F20" s="2" t="inlineStr">
        <is>
          <t>VTAM 経由 / TN3270 経由でアクセス。LOGON PROC で初期化スクリプト実行。</t>
        </is>
      </c>
      <c r="G20" s="2" t="inlineStr">
        <is>
          <t>cfg-tso-logon</t>
        </is>
      </c>
      <c r="H20" s="2" t="inlineStr">
        <is>
          <t>TSO/E, LOGON</t>
        </is>
      </c>
      <c r="I20" s="2" t="inlineStr">
        <is>
          <t>S_ZOS_TSO_Cmds</t>
        </is>
      </c>
    </row>
    <row r="21">
      <c r="A21" s="2" t="inlineStr">
        <is>
          <t>LISTC / LISTCAT</t>
        </is>
      </c>
      <c r="B21" s="2" t="inlineStr">
        <is>
          <t>TSO/E</t>
        </is>
      </c>
      <c r="C21" s="2" t="inlineStr">
        <is>
          <t>カタログ内のデータセット一覧を表示。</t>
        </is>
      </c>
      <c r="D21" s="2" t="inlineStr">
        <is>
          <t>LISTC LEVEL(&lt;hlq&gt;) [ALL | ENTRIES(&lt;dsn&gt;)]</t>
        </is>
      </c>
      <c r="E21" s="2" t="inlineStr">
        <is>
          <t>LISTC LEVEL(USER01) ALL
（出力）IDC0010I LISTCAT COMMAND IS COMPLETE
         (各データセットの詳細)</t>
        </is>
      </c>
      <c r="F21" s="2" t="inlineStr">
        <is>
          <t>LEVEL でデータセット名階層プレフィックス指定。VSAM の場合は CLUSTER 構造表示。</t>
        </is>
      </c>
      <c r="G21" s="2" t="inlineStr">
        <is>
          <t>cfg-dataset-mgmt</t>
        </is>
      </c>
      <c r="H21" s="2" t="inlineStr">
        <is>
          <t>Catalog, Dataset</t>
        </is>
      </c>
      <c r="I21" s="2" t="inlineStr">
        <is>
          <t>S_ZOS_TSO_Cmds</t>
        </is>
      </c>
    </row>
    <row r="22">
      <c r="A22" s="2" t="inlineStr">
        <is>
          <t>LISTD / LISTDS</t>
        </is>
      </c>
      <c r="B22" s="2" t="inlineStr">
        <is>
          <t>TSO/E</t>
        </is>
      </c>
      <c r="C22" s="2" t="inlineStr">
        <is>
          <t>データセット属性表示（DCB、SMS Class 等）。</t>
        </is>
      </c>
      <c r="D22" s="2" t="inlineStr">
        <is>
          <t>LISTDS &lt;dsn&gt; [HISTORY | LABEL | ALL]</t>
        </is>
      </c>
      <c r="E22" s="2" t="inlineStr">
        <is>
          <t>LISTDS 'USER01.JCL.LIB' ALL
（出力）DSORG=PO RECFM=FB LRECL=80 BLKSIZE=27920</t>
        </is>
      </c>
      <c r="F22" s="2" t="inlineStr">
        <is>
          <t>クォート無しは USERID 補完、クォート有りは絶対指定。</t>
        </is>
      </c>
      <c r="G22" s="2" t="inlineStr">
        <is>
          <t>cfg-dataset-mgmt</t>
        </is>
      </c>
      <c r="H22" s="2" t="inlineStr">
        <is>
          <t>Dataset, DCB</t>
        </is>
      </c>
      <c r="I22" s="2" t="inlineStr">
        <is>
          <t>S_ZOS_TSO_Cmds</t>
        </is>
      </c>
    </row>
    <row r="23">
      <c r="A23" s="2" t="inlineStr">
        <is>
          <t>ALLOCATE / ALLOC</t>
        </is>
      </c>
      <c r="B23" s="2" t="inlineStr">
        <is>
          <t>TSO/E</t>
        </is>
      </c>
      <c r="C23" s="2" t="inlineStr">
        <is>
          <t>データセットを動的アロケーションで割り当て。</t>
        </is>
      </c>
      <c r="D23" s="2" t="inlineStr">
        <is>
          <t>ALLOC F(&lt;ddname&gt;) DA(&lt;dsn&gt;) [NEW|OLD|SHR|MOD] [SP(&lt;n&gt;) ...]</t>
        </is>
      </c>
      <c r="E23" s="2" t="inlineStr">
        <is>
          <t>ALLOC F(SYSPRINT) DA(*)
ALLOC F(SYSIN) DA('USER01.JCL(JOB1)') SHR</t>
        </is>
      </c>
      <c r="F23" s="2" t="inlineStr">
        <is>
          <t>TSO セッション中の動的割り当て。バッチ JCL の DD 文相当。</t>
        </is>
      </c>
      <c r="G23" s="2" t="inlineStr">
        <is>
          <t>cfg-dataset-mgmt</t>
        </is>
      </c>
      <c r="H23" s="2" t="inlineStr">
        <is>
          <t>Dynamic Allocation</t>
        </is>
      </c>
      <c r="I23" s="2" t="inlineStr">
        <is>
          <t>S_ZOS_TSO_Cmds</t>
        </is>
      </c>
    </row>
    <row r="24">
      <c r="A24" s="2" t="inlineStr">
        <is>
          <t>SUBMIT</t>
        </is>
      </c>
      <c r="B24" s="2" t="inlineStr">
        <is>
          <t>TSO/E</t>
        </is>
      </c>
      <c r="C24" s="2" t="inlineStr">
        <is>
          <t>JCL をサブミット（バッチジョブ実行）。</t>
        </is>
      </c>
      <c r="D24" s="2" t="inlineStr">
        <is>
          <t>SUB '&lt;dsn&gt;'[(&lt;member&gt;)]  または  SUB *</t>
        </is>
      </c>
      <c r="E24" s="2" t="inlineStr">
        <is>
          <t>SUB 'USER01.JCL(JOB1)'
（応答）IKJ56250I JOB JOB1(JOB12345) SUBMITTED</t>
        </is>
      </c>
      <c r="F24" s="2" t="inlineStr">
        <is>
          <t>ISPF EDIT で SUB コマンドも同等。実行状況は SDSF ST で確認。</t>
        </is>
      </c>
      <c r="G24" s="2" t="inlineStr">
        <is>
          <t>cfg-job-submit</t>
        </is>
      </c>
      <c r="H24" s="2" t="inlineStr">
        <is>
          <t>JCL, JES2</t>
        </is>
      </c>
      <c r="I24" s="2" t="inlineStr">
        <is>
          <t>S_ZOS_TSO_Cmds</t>
        </is>
      </c>
    </row>
    <row r="25">
      <c r="A25" s="2" t="inlineStr">
        <is>
          <t>ISPF / PDF</t>
        </is>
      </c>
      <c r="B25" s="2" t="inlineStr">
        <is>
          <t>TSO/E</t>
        </is>
      </c>
      <c r="C25" s="2" t="inlineStr">
        <is>
          <t>ISPF（PDF: Program Development Facility）を起動。</t>
        </is>
      </c>
      <c r="D25" s="2" t="inlineStr">
        <is>
          <t>ISPF  または  PDF</t>
        </is>
      </c>
      <c r="E25" s="2" t="inlineStr">
        <is>
          <t>ISPF
（ISPF パネルが起動、メニュー: 0=Settings, 1=View, 2=Edit, 3=Utilities, ...）</t>
        </is>
      </c>
      <c r="F25" s="2" t="inlineStr">
        <is>
          <t>z/OS で最も使われる対話型インターフェース。LOGON PROC で自動起動の場合多い。</t>
        </is>
      </c>
      <c r="G25" s="2" t="inlineStr">
        <is>
          <t>cfg-tso-logon</t>
        </is>
      </c>
      <c r="H25" s="2" t="inlineStr">
        <is>
          <t>ISPF</t>
        </is>
      </c>
      <c r="I25" s="2" t="inlineStr">
        <is>
          <t>S_ZOS_TSO_Cmds</t>
        </is>
      </c>
    </row>
    <row r="26">
      <c r="A26" s="2" t="inlineStr">
        <is>
          <t>EXEC &lt;rexx&gt;</t>
        </is>
      </c>
      <c r="B26" s="2" t="inlineStr">
        <is>
          <t>TSO/E</t>
        </is>
      </c>
      <c r="C26" s="2" t="inlineStr">
        <is>
          <t>REXX または CLIST を実行。</t>
        </is>
      </c>
      <c r="D26" s="2" t="inlineStr">
        <is>
          <t>EXEC '&lt;dsn&gt;(&lt;member&gt;)' '&lt;args&gt;'  または  %&lt;rexx&gt;</t>
        </is>
      </c>
      <c r="E26" s="2" t="inlineStr">
        <is>
          <t>%MYREXX
EXEC 'USER01.REXX(MYREXX)' 'ARG1 ARG2'</t>
        </is>
      </c>
      <c r="F26" s="2" t="inlineStr">
        <is>
          <t>% プレフィックスで SYSEXEC/SYSPROC 検索。',' で複数引数渡し可。</t>
        </is>
      </c>
      <c r="G26" s="2" t="inlineStr">
        <is>
          <t>cfg-rexx-script</t>
        </is>
      </c>
      <c r="H26" s="2" t="inlineStr">
        <is>
          <t>REXX, CLIST</t>
        </is>
      </c>
      <c r="I26" s="2" t="inlineStr">
        <is>
          <t>S_ZOS_TSO_Cmds</t>
        </is>
      </c>
    </row>
    <row r="27">
      <c r="A27" s="2" t="inlineStr">
        <is>
          <t>RECEIVE</t>
        </is>
      </c>
      <c r="B27" s="2" t="inlineStr">
        <is>
          <t>TSO/E</t>
        </is>
      </c>
      <c r="C27" s="2" t="inlineStr">
        <is>
          <t>他ユーザから送信された受信箱（INMRC1 等）データセットを取り込み。</t>
        </is>
      </c>
      <c r="D27" s="2" t="inlineStr">
        <is>
          <t>RECEIVE</t>
        </is>
      </c>
      <c r="E27" s="2" t="inlineStr">
        <is>
          <t>RECEIVE
（応答）INMR901I Dataset 'USER02.SOMEDATA' from USER02 on SYSA
INMR906A Enter restore parameters or DELETE or END +</t>
        </is>
      </c>
      <c r="F27" s="2" t="inlineStr">
        <is>
          <t>TSO TRANSMIT で送られたファイルの取り込み。</t>
        </is>
      </c>
      <c r="G27" s="2" t="inlineStr"/>
      <c r="H27" s="2" t="inlineStr">
        <is>
          <t>TRANSMIT, RECEIVE</t>
        </is>
      </c>
      <c r="I27" s="2" t="inlineStr">
        <is>
          <t>S_ZOS_TSO_Cmds</t>
        </is>
      </c>
    </row>
    <row r="28">
      <c r="A28" s="2" t="inlineStr">
        <is>
          <t>SDSF DA</t>
        </is>
      </c>
      <c r="B28" s="2" t="inlineStr">
        <is>
          <t>SDSF</t>
        </is>
      </c>
      <c r="C28" s="2" t="inlineStr">
        <is>
          <t>Display Active = アクティブな全アドレス空間表示パネル。</t>
        </is>
      </c>
      <c r="D28" s="2" t="inlineStr">
        <is>
          <t>DA  （SDSF 内コマンド）</t>
        </is>
      </c>
      <c r="E28" s="2">
        <f>=&gt; DA
（パネル）NP   JOBNAME  StepName  ProcStep  JobID    Owner   ...
     PROD1    STEP01    PROC1     JOB12345 USER01</f>
        <v/>
      </c>
      <c r="F28" s="2" t="inlineStr">
        <is>
          <t>z/OS オペレータ・運用者の最頻使用パネル。プレフィックス S（select）でジョブ詳細。</t>
        </is>
      </c>
      <c r="G28" s="2" t="inlineStr">
        <is>
          <t>inc-system-hung</t>
        </is>
      </c>
      <c r="H28" s="2" t="inlineStr">
        <is>
          <t>SDSF</t>
        </is>
      </c>
      <c r="I28" s="2" t="inlineStr">
        <is>
          <t>S_ZOS_SDSF</t>
        </is>
      </c>
    </row>
    <row r="29">
      <c r="A29" s="2" t="inlineStr">
        <is>
          <t>SDSF ST</t>
        </is>
      </c>
      <c r="B29" s="2" t="inlineStr">
        <is>
          <t>SDSF</t>
        </is>
      </c>
      <c r="C29" s="2" t="inlineStr">
        <is>
          <t>Status of jobs = JES2 キュー上の全ジョブ表示。</t>
        </is>
      </c>
      <c r="D29" s="2" t="inlineStr">
        <is>
          <t>ST  （SDSF 内コマンド）</t>
        </is>
      </c>
      <c r="E29" s="2">
        <f>=&gt; ST
（パネル）NP   JOBNAME  JobID    Owner    Prty Queue   ...
     PROD1    JOB12345 USER01    8   ACTIVE</f>
        <v/>
      </c>
      <c r="F29" s="2" t="inlineStr">
        <is>
          <t>ジョブ状態（ACTIVE/INPUT/OUTPUT/HARDCOPY）を一覧。Q カラムで PURGE などコマンド入力可。</t>
        </is>
      </c>
      <c r="G29" s="2" t="inlineStr">
        <is>
          <t>inc-job-fail</t>
        </is>
      </c>
      <c r="H29" s="2" t="inlineStr">
        <is>
          <t>SDSF, JES2</t>
        </is>
      </c>
      <c r="I29" s="2" t="inlineStr">
        <is>
          <t>S_ZOS_SDSF</t>
        </is>
      </c>
    </row>
    <row r="30">
      <c r="A30" s="2" t="inlineStr">
        <is>
          <t>SDSF LOG</t>
        </is>
      </c>
      <c r="B30" s="2" t="inlineStr">
        <is>
          <t>SDSF</t>
        </is>
      </c>
      <c r="C30" s="2" t="inlineStr">
        <is>
          <t>SYSLOG / OPERLOG の表示。</t>
        </is>
      </c>
      <c r="D30" s="2" t="inlineStr">
        <is>
          <t>LOG  または  LOG O  （O = OPERLOG）</t>
        </is>
      </c>
      <c r="E30" s="2">
        <f>=&gt; LOG
（パネル）SYSLOG  --  CONSOLE STATUS--  ROW 1
IEE612I CN=SDSFA   DEVNUM=...</f>
        <v/>
      </c>
      <c r="F30" s="2" t="inlineStr">
        <is>
          <t>SDSF 経由でシステムメッセージ閲覧。FIND コマンドで検索。</t>
        </is>
      </c>
      <c r="G30" s="2" t="inlineStr">
        <is>
          <t>inc-syslog-investigation</t>
        </is>
      </c>
      <c r="H30" s="2" t="inlineStr">
        <is>
          <t>SYSLOG, OPERLOG</t>
        </is>
      </c>
      <c r="I30" s="2" t="inlineStr">
        <is>
          <t>S_ZOS_SDSF</t>
        </is>
      </c>
    </row>
    <row r="31">
      <c r="A31" s="2" t="inlineStr">
        <is>
          <t>SDSF /&lt;command&gt;</t>
        </is>
      </c>
      <c r="B31" s="2" t="inlineStr">
        <is>
          <t>SDSF</t>
        </is>
      </c>
      <c r="C31" s="2" t="inlineStr">
        <is>
          <t>オペレータコマンド発行（権限あれば）。</t>
        </is>
      </c>
      <c r="D31" s="2" t="inlineStr">
        <is>
          <t>/&lt;MVS command&gt;  （SDSF 内）</t>
        </is>
      </c>
      <c r="E31" s="2">
        <f>=&gt; /D A,L
（応答）IEE114I 13.00.00 ACTIVITY 999 ...</f>
        <v/>
      </c>
      <c r="F31" s="2" t="inlineStr">
        <is>
          <t>SDSF コマンド行で / プレフィックスで MVS コマンド発行。RACF 権限要。</t>
        </is>
      </c>
      <c r="G31" s="2" t="inlineStr"/>
      <c r="H31" s="2" t="inlineStr">
        <is>
          <t>SDSF</t>
        </is>
      </c>
      <c r="I31" s="2" t="inlineStr">
        <is>
          <t>S_ZOS_SDSF</t>
        </is>
      </c>
    </row>
    <row r="32">
      <c r="A32" s="2" t="inlineStr">
        <is>
          <t>SDSF SE / SDSF JC</t>
        </is>
      </c>
      <c r="B32" s="2" t="inlineStr">
        <is>
          <t>SDSF</t>
        </is>
      </c>
      <c r="C32" s="2" t="inlineStr">
        <is>
          <t>SE = Scheduler Environment, JC = Job Class 表示。</t>
        </is>
      </c>
      <c r="D32" s="2" t="inlineStr">
        <is>
          <t>SE / JC  （SDSF 内コマンド）</t>
        </is>
      </c>
      <c r="E32" s="2">
        <f>=&gt; JC
（パネル）JOBCLASS  HOLD  RESTART  WLMSCHENV  MAXJOB ...</f>
        <v/>
      </c>
      <c r="F32" s="2" t="inlineStr">
        <is>
          <t>JES2 ジョブクラス・スケジューラ環境の状態確認。</t>
        </is>
      </c>
      <c r="G32" s="2" t="inlineStr">
        <is>
          <t>cfg-jes2-init</t>
        </is>
      </c>
      <c r="H32" s="2" t="inlineStr">
        <is>
          <t>JES2 Class, WLM SCHENV</t>
        </is>
      </c>
      <c r="I32" s="2" t="inlineStr">
        <is>
          <t>S_ZOS_SDSF</t>
        </is>
      </c>
    </row>
    <row r="33">
      <c r="A33" s="2" t="inlineStr">
        <is>
          <t>JOB statement</t>
        </is>
      </c>
      <c r="B33" s="2" t="inlineStr">
        <is>
          <t>JCL</t>
        </is>
      </c>
      <c r="C33" s="2" t="inlineStr">
        <is>
          <t>ジョブの開始・属性指定。</t>
        </is>
      </c>
      <c r="D33" s="2" t="inlineStr">
        <is>
          <t>//&lt;jobname&gt; JOB &lt;accounting&gt;,'&lt;programmer&gt;',&lt;options&gt;</t>
        </is>
      </c>
      <c r="E33" s="2" t="inlineStr">
        <is>
          <t>//PROD1    JOB (ACCT01),'USER01',
//             CLASS=A,MSGCLASS=X,MSGLEVEL=(1,1),NOTIFY=&amp;SYSUID</t>
        </is>
      </c>
      <c r="F33" s="2" t="inlineStr">
        <is>
          <t>CLASS=ジョブクラス（JES2 INITDECK 定義）、MSGCLASS=出力クラス（X=HOLD）、NOTIFY=完了通知先。</t>
        </is>
      </c>
      <c r="G33" s="2" t="inlineStr">
        <is>
          <t>cfg-job-submit</t>
        </is>
      </c>
      <c r="H33" s="2" t="inlineStr">
        <is>
          <t>JCL, JES2 Class</t>
        </is>
      </c>
      <c r="I33" s="2" t="inlineStr">
        <is>
          <t>S_ZOS_JCL_Ref</t>
        </is>
      </c>
    </row>
    <row r="34">
      <c r="A34" s="2" t="inlineStr">
        <is>
          <t>EXEC statement</t>
        </is>
      </c>
      <c r="B34" s="2" t="inlineStr">
        <is>
          <t>JCL</t>
        </is>
      </c>
      <c r="C34" s="2" t="inlineStr">
        <is>
          <t>実行プログラム or PROCの指定。</t>
        </is>
      </c>
      <c r="D34" s="2" t="inlineStr">
        <is>
          <t>//&lt;stepname&gt; EXEC PGM=&lt;program&gt;[,PARM='&lt;parm&gt;'][,COND=...]
//&lt;stepname&gt; EXEC &lt;procname&gt;</t>
        </is>
      </c>
      <c r="E34" s="2" t="inlineStr">
        <is>
          <t>//STEP01   EXEC PGM=IEFBR14
//STEP02   EXEC PROC=MYPROC,PARM='HELLO'</t>
        </is>
      </c>
      <c r="F34" s="2" t="inlineStr">
        <is>
          <t>PGM=直接プログラム実行 or PROC=PROCLIB 内 catalogued procedure 呼び出し。</t>
        </is>
      </c>
      <c r="G34" s="2" t="inlineStr">
        <is>
          <t>cfg-job-submit</t>
        </is>
      </c>
      <c r="H34" s="2" t="inlineStr">
        <is>
          <t>JCL, PROCLIB</t>
        </is>
      </c>
      <c r="I34" s="2" t="inlineStr">
        <is>
          <t>S_ZOS_JCL_Ref</t>
        </is>
      </c>
    </row>
    <row r="35">
      <c r="A35" s="2" t="inlineStr">
        <is>
          <t>DD statement</t>
        </is>
      </c>
      <c r="B35" s="2" t="inlineStr">
        <is>
          <t>JCL</t>
        </is>
      </c>
      <c r="C35" s="2" t="inlineStr">
        <is>
          <t>データセット定義（割り当て）。</t>
        </is>
      </c>
      <c r="D35" s="2" t="inlineStr">
        <is>
          <t>//&lt;ddname&gt; DD DSN=&lt;dsn&gt;,DISP=(&lt;status&gt;,&lt;normal&gt;,&lt;abnormal&gt;),...</t>
        </is>
      </c>
      <c r="E35" s="2" t="inlineStr">
        <is>
          <t>//SYSIN    DD *
INPUT DATA
/*
//SYSOUT   DD SYSOUT=*
//OUTFILE  DD DSN=USER01.OUTPUT,DISP=(NEW,CATLG,DELETE),
//            UNIT=SYSDA,SPACE=(CYL,(10,5)),DCB=(RECFM=FB,LRECL=80,BLKSIZE=27920)</t>
        </is>
      </c>
      <c r="F35" s="2" t="inlineStr">
        <is>
          <t>z/OS で最重要・最頻出 JCL ステートメント。DISP=(現状,正常時,異常時) の 3 タプル。</t>
        </is>
      </c>
      <c r="G35" s="2" t="inlineStr">
        <is>
          <t>cfg-dataset-mgmt</t>
        </is>
      </c>
      <c r="H35" s="2" t="inlineStr">
        <is>
          <t>Dataset, DCB, SMS</t>
        </is>
      </c>
      <c r="I35" s="2" t="inlineStr">
        <is>
          <t>S_ZOS_JCL_Ref</t>
        </is>
      </c>
    </row>
    <row r="36">
      <c r="A36" s="2" t="inlineStr">
        <is>
          <t>JES2 control card</t>
        </is>
      </c>
      <c r="B36" s="2" t="inlineStr">
        <is>
          <t>JCL</t>
        </is>
      </c>
      <c r="C36" s="2" t="inlineStr">
        <is>
          <t>JES2 への指示（ROUTE/JOBPARM/OUTPUT 等）。</t>
        </is>
      </c>
      <c r="D36" s="2" t="inlineStr">
        <is>
          <t>/*&lt;command&gt; &lt;parameters&gt;</t>
        </is>
      </c>
      <c r="E36" s="2" t="inlineStr">
        <is>
          <t>/*JOBPARM SYSAFF=SY1
/*ROUTE PRINT NODE1.PRT01
/*XEQ SY2</t>
        </is>
      </c>
      <c r="F36" s="2" t="inlineStr">
        <is>
          <t>ジョブを特定システムで実行 (SYSAFF/XEQ)、出力先制御 (ROUTE)。</t>
        </is>
      </c>
      <c r="G36" s="2" t="inlineStr">
        <is>
          <t>cfg-job-submit</t>
        </is>
      </c>
      <c r="H36" s="2" t="inlineStr">
        <is>
          <t>JES2</t>
        </is>
      </c>
      <c r="I36" s="2" t="inlineStr">
        <is>
          <t>S_ZOS_JCL_Ref</t>
        </is>
      </c>
    </row>
    <row r="37">
      <c r="A37" s="2" t="inlineStr">
        <is>
          <t>INCLUDE statement</t>
        </is>
      </c>
      <c r="B37" s="2" t="inlineStr">
        <is>
          <t>JCL</t>
        </is>
      </c>
      <c r="C37" s="2" t="inlineStr">
        <is>
          <t>JCL の一部を別データセットからインクルード。</t>
        </is>
      </c>
      <c r="D37" s="2" t="inlineStr">
        <is>
          <t>//&lt;name&gt; INCLUDE MEMBER=&lt;member&gt;</t>
        </is>
      </c>
      <c r="E37" s="2" t="inlineStr">
        <is>
          <t>//STDLIB   JCLLIB ORDER=(USER01.PROCLIB)
//         INCLUDE MEMBER=COMMONDD</t>
        </is>
      </c>
      <c r="F37" s="2" t="inlineStr">
        <is>
          <t>JCLLIB で検索パス指定後、INCLUDE で再利用可能 JCL 部品を取り込み。</t>
        </is>
      </c>
      <c r="G37" s="2" t="inlineStr">
        <is>
          <t>cfg-job-submit</t>
        </is>
      </c>
      <c r="H37" s="2" t="inlineStr">
        <is>
          <t>JCL</t>
        </is>
      </c>
      <c r="I37" s="2" t="inlineStr">
        <is>
          <t>S_ZOS_JCL_Ref</t>
        </is>
      </c>
    </row>
    <row r="38">
      <c r="A38" s="2" t="inlineStr">
        <is>
          <t>OMVS</t>
        </is>
      </c>
      <c r="B38" s="2" t="inlineStr">
        <is>
          <t>USS</t>
        </is>
      </c>
      <c r="C38" s="2" t="inlineStr">
        <is>
          <t>TSO から USS シェル（OMVS）に入る。</t>
        </is>
      </c>
      <c r="D38" s="2" t="inlineStr">
        <is>
          <t>OMVS</t>
        </is>
      </c>
      <c r="E38" s="2" t="inlineStr">
        <is>
          <t>TSO&gt; OMVS
（USS シェルプロンプトに切り替わる）
$ uname -a
z/OS USERX01 03.01 03 00 8561</t>
        </is>
      </c>
      <c r="F38" s="2" t="inlineStr">
        <is>
          <t>Ctrl+T で TSO/USS 切替（事前に TSO の SET PROFILE 設定必要）。EXIT で TSO に戻る。</t>
        </is>
      </c>
      <c r="G38" s="2" t="inlineStr">
        <is>
          <t>cfg-uss-setup</t>
        </is>
      </c>
      <c r="H38" s="2" t="inlineStr">
        <is>
          <t>USS, OMVS</t>
        </is>
      </c>
      <c r="I38" s="2" t="inlineStr">
        <is>
          <t>S_ZOS_USS</t>
        </is>
      </c>
    </row>
    <row r="39">
      <c r="A39" s="2" t="inlineStr">
        <is>
          <t>ls / cp / mv / rm（USS）</t>
        </is>
      </c>
      <c r="B39" s="2" t="inlineStr">
        <is>
          <t>USS</t>
        </is>
      </c>
      <c r="C39" s="2" t="inlineStr">
        <is>
          <t>USS の標準 UNIX コマンド（POSIX 互換）。</t>
        </is>
      </c>
      <c r="D39" s="2" t="inlineStr">
        <is>
          <t>ls -la
cp &lt;src&gt; &lt;dest&gt;
mv &lt;src&gt; &lt;dest&gt;
rm &lt;file&gt;</t>
        </is>
      </c>
      <c r="E39" s="2" t="inlineStr">
        <is>
          <t>$ ls -la /etc
$ cp /tmp/file1 /u/user01/file1
$ rm /tmp/temp.txt</t>
        </is>
      </c>
      <c r="F39" s="2" t="inlineStr">
        <is>
          <t>z/OS USS は POSIX 準拠の UNIX 環境。Linux/AIX 同等のシェル操作可能。</t>
        </is>
      </c>
      <c r="G39" s="2" t="inlineStr">
        <is>
          <t>cfg-uss-setup</t>
        </is>
      </c>
      <c r="H39" s="2" t="inlineStr">
        <is>
          <t>USS, HFS, zFS</t>
        </is>
      </c>
      <c r="I39" s="2" t="inlineStr">
        <is>
          <t>S_ZOS_USS</t>
        </is>
      </c>
    </row>
    <row r="40">
      <c r="A40" s="2" t="inlineStr">
        <is>
          <t>bpxbatch / bpxbatsl</t>
        </is>
      </c>
      <c r="B40" s="2" t="inlineStr">
        <is>
          <t>USS</t>
        </is>
      </c>
      <c r="C40" s="2" t="inlineStr">
        <is>
          <t>USS シェルスクリプトを JES2 バッチジョブとして実行。</t>
        </is>
      </c>
      <c r="D40" s="2" t="inlineStr">
        <is>
          <t>//&lt;step&gt; EXEC PGM=BPXBATCH,PARM='SH /u/user01/script.sh'</t>
        </is>
      </c>
      <c r="E40" s="2" t="inlineStr">
        <is>
          <t>//STEP1 EXEC PGM=BPXBATCH,PARM='SH /usr/lpp/myapp/run.sh'
//STDOUT DD SYSOUT=*
//STDERR DD SYSOUT=*</t>
        </is>
      </c>
      <c r="F40" s="2" t="inlineStr">
        <is>
          <t>BPXBATCH は SH or PGM サブモードで USS から起動。STDOUT/STDERR の DD 必要。</t>
        </is>
      </c>
      <c r="G40" s="2" t="inlineStr">
        <is>
          <t>cfg-uss-batch</t>
        </is>
      </c>
      <c r="H40" s="2" t="inlineStr">
        <is>
          <t>USS, BPXBATCH</t>
        </is>
      </c>
      <c r="I40" s="2" t="inlineStr">
        <is>
          <t>S_ZOS_USS</t>
        </is>
      </c>
    </row>
    <row r="41">
      <c r="A41" s="2" t="inlineStr">
        <is>
          <t>su / id（USS）</t>
        </is>
      </c>
      <c r="B41" s="2" t="inlineStr">
        <is>
          <t>USS</t>
        </is>
      </c>
      <c r="C41" s="2" t="inlineStr">
        <is>
          <t>ユーザ切替・ID 確認。</t>
        </is>
      </c>
      <c r="D41" s="2" t="inlineStr">
        <is>
          <t>su  または  su -  または  id</t>
        </is>
      </c>
      <c r="E41" s="2" t="inlineStr">
        <is>
          <t>$ id
uid=500(USER01) gid=10(STAFF) groups=10(STAFF),100(GRP1)
$ su -
# id
uid=0(BPXROOT) gid=0(SYS1)</t>
        </is>
      </c>
      <c r="F41" s="2" t="inlineStr">
        <is>
          <t>USS の uid/gid は RACF OMVS セグメントから取得。su には RACF SURROGAT 権限要。</t>
        </is>
      </c>
      <c r="G41" s="2" t="inlineStr">
        <is>
          <t>cfg-uss-setup</t>
        </is>
      </c>
      <c r="H41" s="2" t="inlineStr">
        <is>
          <t>USS, OMVS Segment</t>
        </is>
      </c>
      <c r="I41" s="2" t="inlineStr">
        <is>
          <t>S_ZOS_USS</t>
        </is>
      </c>
    </row>
    <row r="42">
      <c r="A42" s="2" t="inlineStr">
        <is>
          <t>df / mount（USS）</t>
        </is>
      </c>
      <c r="B42" s="2" t="inlineStr">
        <is>
          <t>USS</t>
        </is>
      </c>
      <c r="C42" s="2" t="inlineStr">
        <is>
          <t>USS ファイルシステム使用率・マウント表示。</t>
        </is>
      </c>
      <c r="D42" s="2" t="inlineStr">
        <is>
          <t>df -k  または  /usr/sbin/mount</t>
        </is>
      </c>
      <c r="E42" s="2" t="inlineStr">
        <is>
          <t>$ df -k
Mounted on Filesystem      Avail/Total  Files  Status
/         OMVS.ROOT.ZFS    100000/200000   ...   Available</t>
        </is>
      </c>
      <c r="F42" s="2" t="inlineStr">
        <is>
          <t>HFS / zFS / NFS マウント表示。BPXPRMxx 設定との連動。</t>
        </is>
      </c>
      <c r="G42" s="2" t="inlineStr">
        <is>
          <t>cfg-uss-fs</t>
        </is>
      </c>
      <c r="H42" s="2" t="inlineStr">
        <is>
          <t>HFS, zFS, BPXPRMxx</t>
        </is>
      </c>
      <c r="I42" s="2" t="inlineStr">
        <is>
          <t>S_ZOS_USS</t>
        </is>
      </c>
    </row>
    <row r="43">
      <c r="A43" s="2" t="inlineStr">
        <is>
          <t>SMP/E APPLY</t>
        </is>
      </c>
      <c r="B43" s="2" t="inlineStr">
        <is>
          <t>SMP/E</t>
        </is>
      </c>
      <c r="C43" s="2" t="inlineStr">
        <is>
          <t>PTF を適用（apply）。SMP/E メンテナンスの中核操作。</t>
        </is>
      </c>
      <c r="D43" s="2" t="inlineStr">
        <is>
          <t>//STEP EXEC PGM=GIMSMP
//SMPCNTL DD *
SET BDY(&lt;target zone&gt;).
APPLY S(&lt;sysmod&gt;) [CHECK].</t>
        </is>
      </c>
      <c r="E43" s="2" t="inlineStr">
        <is>
          <t>SET BDY(MVST100). APPLY S(UA12345,UA12346) BYPASS(HOLDSYS) CHECK.</t>
        </is>
      </c>
      <c r="F43" s="2" t="inlineStr">
        <is>
          <t>CHECK で事前検証、削除して本適用。BYPASS(HOLDSYS) は ++HOLD 警告無視（要慎重判断）。</t>
        </is>
      </c>
      <c r="G43" s="2" t="inlineStr">
        <is>
          <t>cfg-smpe-apply</t>
        </is>
      </c>
      <c r="H43" s="2" t="inlineStr">
        <is>
          <t>SMP/E, PTF, SYSMOD</t>
        </is>
      </c>
      <c r="I43" s="2" t="inlineStr">
        <is>
          <t>S_ZOS_SMPE</t>
        </is>
      </c>
    </row>
    <row r="44">
      <c r="A44" s="2" t="inlineStr">
        <is>
          <t>SMP/E ACCEPT</t>
        </is>
      </c>
      <c r="B44" s="2" t="inlineStr">
        <is>
          <t>SMP/E</t>
        </is>
      </c>
      <c r="C44" s="2" t="inlineStr">
        <is>
          <t>適用済 PTF を確定（distribution lib に反映）。</t>
        </is>
      </c>
      <c r="D44" s="2" t="inlineStr">
        <is>
          <t>SET BDY(&lt;dlib zone&gt;). ACCEPT S(&lt;sysmod&gt;).</t>
        </is>
      </c>
      <c r="E44" s="2" t="inlineStr">
        <is>
          <t>SET BDY(MVSDLB). ACCEPT S(UA12345) CHECK.</t>
        </is>
      </c>
      <c r="F44" s="2" t="inlineStr">
        <is>
          <t>ACCEPT 後は RESTORE 不可（distribution に反映済）。一定期間運用後に実施。</t>
        </is>
      </c>
      <c r="G44" s="2" t="inlineStr">
        <is>
          <t>cfg-smpe-apply</t>
        </is>
      </c>
      <c r="H44" s="2" t="inlineStr">
        <is>
          <t>SMP/E</t>
        </is>
      </c>
      <c r="I44" s="2" t="inlineStr">
        <is>
          <t>S_ZOS_SMPE</t>
        </is>
      </c>
    </row>
    <row r="45">
      <c r="A45" s="2" t="inlineStr">
        <is>
          <t>SMP/E RESTORE</t>
        </is>
      </c>
      <c r="B45" s="2" t="inlineStr">
        <is>
          <t>SMP/E</t>
        </is>
      </c>
      <c r="C45" s="2" t="inlineStr">
        <is>
          <t>applied 状態の PTF を取り消し（target zone から削除）。</t>
        </is>
      </c>
      <c r="D45" s="2" t="inlineStr">
        <is>
          <t>SET BDY(&lt;target zone&gt;). RESTORE S(&lt;sysmod&gt;).</t>
        </is>
      </c>
      <c r="E45" s="2" t="inlineStr">
        <is>
          <t>SET BDY(MVST100). RESTORE S(UA12345).</t>
        </is>
      </c>
      <c r="F45" s="2" t="inlineStr">
        <is>
          <t>ACCEPT 前のみ RESTORE 可能。問題発生時の rollback。</t>
        </is>
      </c>
      <c r="G45" s="2" t="inlineStr">
        <is>
          <t>cfg-smpe-apply</t>
        </is>
      </c>
      <c r="H45" s="2" t="inlineStr">
        <is>
          <t>SMP/E</t>
        </is>
      </c>
      <c r="I45" s="2" t="inlineStr">
        <is>
          <t>S_ZOS_SMPE</t>
        </is>
      </c>
    </row>
    <row r="46">
      <c r="A46" s="2" t="inlineStr">
        <is>
          <t>SMP/E LIST</t>
        </is>
      </c>
      <c r="B46" s="2" t="inlineStr">
        <is>
          <t>SMP/E</t>
        </is>
      </c>
      <c r="C46" s="2" t="inlineStr">
        <is>
          <t>SMP/E の登録情報（PTF/HOLD/ZONE 等）を表示。</t>
        </is>
      </c>
      <c r="D46" s="2" t="inlineStr">
        <is>
          <t>SET BDY(&lt;zone&gt;). LIST &lt;type&gt;.</t>
        </is>
      </c>
      <c r="E46" s="2" t="inlineStr">
        <is>
          <t>SET BDY(MVST100). LIST SYSMOD(UA12345).
SET BDY(MVST100). LIST FUNCTION.</t>
        </is>
      </c>
      <c r="F46" s="2" t="inlineStr">
        <is>
          <t>PTF 状態確認、product 構成確認、HOLDDATA 確認等で使用。</t>
        </is>
      </c>
      <c r="G46" s="2" t="inlineStr">
        <is>
          <t>cfg-smpe-apply</t>
        </is>
      </c>
      <c r="H46" s="2" t="inlineStr">
        <is>
          <t>SMP/E</t>
        </is>
      </c>
      <c r="I46" s="2" t="inlineStr">
        <is>
          <t>S_ZOS_SMPE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50" customWidth="1" min="2" max="2"/>
    <col width="30" customWidth="1" min="3" max="3"/>
    <col width="35" customWidth="1" min="4" max="4"/>
    <col width="22" customWidth="1" min="5" max="5"/>
    <col width="16" customWidth="1" min="6" max="6"/>
    <col width="35" customWidth="1" min="7" max="7"/>
  </cols>
  <sheetData>
    <row r="1">
      <c r="A1" s="1" t="inlineStr">
        <is>
          <t>メンバ</t>
        </is>
      </c>
      <c r="B1" s="1" t="inlineStr">
        <is>
          <t>用途</t>
        </is>
      </c>
      <c r="C1" s="1" t="inlineStr">
        <is>
          <t>編集者</t>
        </is>
      </c>
      <c r="D1" s="1" t="inlineStr">
        <is>
          <t>反映タイミング</t>
        </is>
      </c>
      <c r="E1" s="1" t="inlineStr">
        <is>
          <t>関連手順</t>
        </is>
      </c>
      <c r="F1" s="1" t="inlineStr">
        <is>
          <t>出典</t>
        </is>
      </c>
      <c r="G1" s="1" t="inlineStr">
        <is>
          <t>注意点</t>
        </is>
      </c>
    </row>
    <row r="2">
      <c r="A2" s="2" t="inlineStr">
        <is>
          <t>LOADxx</t>
        </is>
      </c>
      <c r="B2" s="2" t="inlineStr">
        <is>
          <t>IPL の起点メンバ。IODF / IEASYS suffix / PARMLIB チェーンを定義。</t>
        </is>
      </c>
      <c r="C2" s="2" t="inlineStr">
        <is>
          <t>ISPF EDIT 直接編集（SYS1.IPLPARM または SYS1.PARMLIB）</t>
        </is>
      </c>
      <c r="D2" s="2" t="inlineStr">
        <is>
          <t>次回 IPL 時に LOAD パラメータで指定された xx が読まれる</t>
        </is>
      </c>
      <c r="E2" s="2" t="inlineStr">
        <is>
          <t>cfg-parmlib-update</t>
        </is>
      </c>
      <c r="F2" s="2" t="inlineStr">
        <is>
          <t>S_ZOS_Init_Tuning</t>
        </is>
      </c>
      <c r="G2" s="2" t="inlineStr">
        <is>
          <t>LOAD パラメータは LPAR の Activation Profile で指定。直接編集の前に必ずバックアップ。</t>
        </is>
      </c>
    </row>
    <row r="3">
      <c r="A3" s="2" t="inlineStr">
        <is>
          <t>IEASYSxx</t>
        </is>
      </c>
      <c r="B3" s="2" t="inlineStr">
        <is>
          <t>システム初期化パラメータ集約。SQA, GRSCNF, SCH, CLPA, FIX 等。</t>
        </is>
      </c>
      <c r="C3" s="2" t="inlineStr">
        <is>
          <t>ISPF EDIT</t>
        </is>
      </c>
      <c r="D3" s="2" t="inlineStr">
        <is>
          <t>次回 IPL 時</t>
        </is>
      </c>
      <c r="E3" s="2" t="inlineStr">
        <is>
          <t>cfg-parmlib-update</t>
        </is>
      </c>
      <c r="F3" s="2" t="inlineStr">
        <is>
          <t>S_ZOS_Init_Tuning</t>
        </is>
      </c>
      <c r="G3" s="2" t="inlineStr">
        <is>
          <t>LOADxx 内で `SYSPARM=(00,xx)` のように複数 IEASYS をマージ可能。</t>
        </is>
      </c>
    </row>
    <row r="4">
      <c r="A4" s="2" t="inlineStr">
        <is>
          <t>IEFSSNxx</t>
        </is>
      </c>
      <c r="B4" s="2" t="inlineStr">
        <is>
          <t>サブシステム定義。JES2, RACF, SMF, OMVS, RRS 等の起動順を制御。</t>
        </is>
      </c>
      <c r="C4" s="2" t="inlineStr">
        <is>
          <t>ISPF EDIT</t>
        </is>
      </c>
      <c r="D4" s="2" t="inlineStr">
        <is>
          <t>次回 IPL 時。動的追加は SETSSI ADD コマンドで可能（一部）</t>
        </is>
      </c>
      <c r="E4" s="2" t="inlineStr">
        <is>
          <t>cfg-parmlib-update</t>
        </is>
      </c>
      <c r="F4" s="2" t="inlineStr">
        <is>
          <t>S_ZOS_Init_Tuning</t>
        </is>
      </c>
      <c r="G4" s="2" t="inlineStr">
        <is>
          <t>PRIMARY サブシステム（通常 JES2）が最初。順序を間違うと IPL 失敗。</t>
        </is>
      </c>
    </row>
    <row r="5">
      <c r="A5" s="2" t="inlineStr">
        <is>
          <t>BPXPRMxx</t>
        </is>
      </c>
      <c r="B5" s="2" t="inlineStr">
        <is>
          <t>USS（OMVS）の構成。MAXASSIZE, MAXFILEPROC, ROOT FS, MOUNT ステートメント等。</t>
        </is>
      </c>
      <c r="C5" s="2" t="inlineStr">
        <is>
          <t>ISPF EDIT</t>
        </is>
      </c>
      <c r="D5" s="2" t="inlineStr">
        <is>
          <t>次回 IPL 時。動的反映は SET OMVS=xx コマンドで部分可能</t>
        </is>
      </c>
      <c r="E5" s="2" t="inlineStr">
        <is>
          <t>cfg-uss-fs</t>
        </is>
      </c>
      <c r="F5" s="2" t="inlineStr">
        <is>
          <t>S_ZOS_USS</t>
        </is>
      </c>
      <c r="G5" s="2" t="inlineStr">
        <is>
          <t>ROOT FS は zFS 推奨。MAXFILEPROC=64000 等で大きく。</t>
        </is>
      </c>
    </row>
    <row r="6">
      <c r="A6" s="2" t="inlineStr">
        <is>
          <t>SMFPRMxx</t>
        </is>
      </c>
      <c r="B6" s="2" t="inlineStr">
        <is>
          <t>SMF 設定。記録対象 type、出力先（SYS / LOGSTREAM）、バッファ。</t>
        </is>
      </c>
      <c r="C6" s="2" t="inlineStr">
        <is>
          <t>ISPF EDIT</t>
        </is>
      </c>
      <c r="D6" s="2" t="inlineStr">
        <is>
          <t>SET SMF=xx で動的反映可能</t>
        </is>
      </c>
      <c r="E6" s="2" t="inlineStr">
        <is>
          <t>cfg-smf-collect</t>
        </is>
      </c>
      <c r="F6" s="2" t="inlineStr">
        <is>
          <t>S_ZOS_SMF</t>
        </is>
      </c>
      <c r="G6" s="2" t="inlineStr">
        <is>
          <t>TYPE(...,30,...) でジョブ統計記録。SYS1.MAN1/MAN2/MAN3 を rotation 利用。</t>
        </is>
      </c>
    </row>
    <row r="7">
      <c r="A7" s="2" t="inlineStr">
        <is>
          <t>CONSOLxx</t>
        </is>
      </c>
      <c r="B7" s="2" t="inlineStr">
        <is>
          <t>コンソール定義（MCS/EMCS/HARDCOPY/AUTH/ROUTCDE）。</t>
        </is>
      </c>
      <c r="C7" s="2" t="inlineStr">
        <is>
          <t>ISPF EDIT</t>
        </is>
      </c>
      <c r="D7" s="2" t="inlineStr">
        <is>
          <t>次回 IPL 時。動的追加は VARY CN コマンド</t>
        </is>
      </c>
      <c r="E7" s="2" t="inlineStr">
        <is>
          <t>cfg-console-add</t>
        </is>
      </c>
      <c r="F7" s="2" t="inlineStr">
        <is>
          <t>S_ZOS_MVS_Init</t>
        </is>
      </c>
      <c r="G7" s="2" t="inlineStr">
        <is>
          <t>MASTER コンソールの欠如は IPL 失敗の典型原因。</t>
        </is>
      </c>
    </row>
    <row r="8">
      <c r="A8" s="2" t="inlineStr">
        <is>
          <t>GRSRNLxx</t>
        </is>
      </c>
      <c r="B8" s="2" t="inlineStr">
        <is>
          <t>GRS Resource Name List。Sysplex 全体で ENQ する RESERVE/SYSTEMS リソース定義。</t>
        </is>
      </c>
      <c r="C8" s="2" t="inlineStr">
        <is>
          <t>ISPF EDIT</t>
        </is>
      </c>
      <c r="D8" s="2" t="inlineStr">
        <is>
          <t>SET GRSRNL=xx で動的反映</t>
        </is>
      </c>
      <c r="E8" s="2" t="inlineStr">
        <is>
          <t>cfg-grs-setup</t>
        </is>
      </c>
      <c r="F8" s="2" t="inlineStr">
        <is>
          <t>S_ZOS_Sysplex</t>
        </is>
      </c>
      <c r="G8" s="2" t="inlineStr">
        <is>
          <t>RESERVE 廃止して SYSTEMS に変換することで Sysplex 性能改善。</t>
        </is>
      </c>
    </row>
    <row r="9">
      <c r="A9" s="2" t="inlineStr">
        <is>
          <t>COUPLExx</t>
        </is>
      </c>
      <c r="B9" s="2" t="inlineStr">
        <is>
          <t>Sysplex 構成（XCF/CF/CFRM/SFM）定義。</t>
        </is>
      </c>
      <c r="C9" s="2" t="inlineStr">
        <is>
          <t>ISPF EDIT</t>
        </is>
      </c>
      <c r="D9" s="2" t="inlineStr">
        <is>
          <t>次回 IPL 時。CFRM は SETXCF START で動的活性化</t>
        </is>
      </c>
      <c r="E9" s="2" t="inlineStr">
        <is>
          <t>cfg-sysplex-define</t>
        </is>
      </c>
      <c r="F9" s="2" t="inlineStr">
        <is>
          <t>S_ZOS_Sysplex</t>
        </is>
      </c>
      <c r="G9" s="2" t="inlineStr">
        <is>
          <t>CDS（Couple Data Set）の事前作成・容量サイジング必須。</t>
        </is>
      </c>
    </row>
    <row r="10">
      <c r="A10" s="2" t="inlineStr">
        <is>
          <t>JES2 INITDECK</t>
        </is>
      </c>
      <c r="B10" s="2" t="inlineStr">
        <is>
          <t>JES2 初期化パラメータ。SPOOLDEF, INITDEF, JOBCLASS, OUTCLASS 等。</t>
        </is>
      </c>
      <c r="C10" s="2" t="inlineStr">
        <is>
          <t>ISPF EDIT（SYS1.PARMLIB or PROCLIB の HASPPARM 相当）</t>
        </is>
      </c>
      <c r="D10" s="2" t="inlineStr">
        <is>
          <t>JES2 cold start / warm start。$T で動的変更可能なパラメータあり</t>
        </is>
      </c>
      <c r="E10" s="2" t="inlineStr">
        <is>
          <t>cfg-jes2-init</t>
        </is>
      </c>
      <c r="F10" s="2" t="inlineStr">
        <is>
          <t>S_ZOS_JES2</t>
        </is>
      </c>
      <c r="G10" s="2" t="inlineStr">
        <is>
          <t>INITDEF n,CLASS=A 形式。CHKPT/SPOOL volume 定義は warm start 必須項目。</t>
        </is>
      </c>
    </row>
    <row r="11">
      <c r="A11" s="2" t="inlineStr">
        <is>
          <t>PROFILE.TCPIP</t>
        </is>
      </c>
      <c r="B11" s="2" t="inlineStr">
        <is>
          <t>TCP/IP の構成。HOME IP、ROUTE、PORT、AUTOLOG 等。</t>
        </is>
      </c>
      <c r="C11" s="2" t="inlineStr">
        <is>
          <t>ISPF EDIT（TCPIP.PROFILE 等のデータセット）</t>
        </is>
      </c>
      <c r="D11" s="2" t="inlineStr">
        <is>
          <t>TCPIP STC 再起動 or VARY TCPIP,,OBEYFILE で動的反映</t>
        </is>
      </c>
      <c r="E11" s="2" t="inlineStr">
        <is>
          <t>cfg-tcpip-profile</t>
        </is>
      </c>
      <c r="F11" s="2" t="inlineStr">
        <is>
          <t>S_ZOS_CommServer</t>
        </is>
      </c>
      <c r="G11" s="2" t="inlineStr">
        <is>
          <t>OBEYFILE で全 PROFILE 再読み込みでなく差分適用も可能。</t>
        </is>
      </c>
    </row>
    <row r="12">
      <c r="A12" s="2" t="inlineStr">
        <is>
          <t>VTAMLST</t>
        </is>
      </c>
      <c r="B12" s="2" t="inlineStr">
        <is>
          <t>VTAM の SYS1.VTAMLST 配下メンバ群（ATCSTRxx, ATCCONxx, APPL 等）。</t>
        </is>
      </c>
      <c r="C12" s="2" t="inlineStr">
        <is>
          <t>ISPF EDIT</t>
        </is>
      </c>
      <c r="D12" s="2" t="inlineStr">
        <is>
          <t>VARY NET コマンドで動的反映 / VTAM 再起動</t>
        </is>
      </c>
      <c r="E12" s="2" t="inlineStr">
        <is>
          <t>cfg-vtam-startup</t>
        </is>
      </c>
      <c r="F12" s="2" t="inlineStr">
        <is>
          <t>S_ZOS_CommServer</t>
        </is>
      </c>
      <c r="G12" s="2" t="inlineStr">
        <is>
          <t>ATCSTRxx は VTAM start パラメータ、ATCCONxx は connect リスト。</t>
        </is>
      </c>
    </row>
    <row r="13">
      <c r="A13" s="2" t="inlineStr">
        <is>
          <t>RACF Database</t>
        </is>
      </c>
      <c r="B13" s="2" t="inlineStr">
        <is>
          <t>RACF プロファイル DB（VSAM）。SYS1.RACF.PRIMARY/BACKUP 等。</t>
        </is>
      </c>
      <c r="C13" s="2" t="inlineStr">
        <is>
          <t>RACF コマンド（ADDUSER, PERMIT 等）/ IRRDBU00 unload</t>
        </is>
      </c>
      <c r="D13" s="2" t="inlineStr">
        <is>
          <t>RACF コマンド即時反映</t>
        </is>
      </c>
      <c r="E13" s="2" t="inlineStr">
        <is>
          <t>cfg-racf-permit</t>
        </is>
      </c>
      <c r="F13" s="2" t="inlineStr">
        <is>
          <t>S_ZOS_RACF</t>
        </is>
      </c>
      <c r="G13" s="2" t="inlineStr">
        <is>
          <t>Primary/Backup 二重化必須。Backup は IRRUT200 で同期。</t>
        </is>
      </c>
    </row>
    <row r="14">
      <c r="A14" s="2" t="inlineStr">
        <is>
          <t>Master Catalog (SYS1.NUCLEUS)</t>
        </is>
      </c>
      <c r="B14" s="2" t="inlineStr">
        <is>
          <t>z/OS 起動時の最初のカタログ。SYS1.* 等のシステムデータセット定義を含む。</t>
        </is>
      </c>
      <c r="C14" s="2" t="inlineStr">
        <is>
          <t>IDCAMS（DEFINE / DELETE）</t>
        </is>
      </c>
      <c r="D14" s="2" t="inlineStr">
        <is>
          <t>即時</t>
        </is>
      </c>
      <c r="E14" s="2" t="inlineStr">
        <is>
          <t>cfg-dataset-mgmt</t>
        </is>
      </c>
      <c r="F14" s="2" t="inlineStr">
        <is>
          <t>S_ZOS_DFSMS</t>
        </is>
      </c>
      <c r="G14" s="2" t="inlineStr">
        <is>
          <t>Master Catalog 損傷は IPL 失敗の致命傷。alias 経由で User Catalog にチェーン。</t>
        </is>
      </c>
    </row>
    <row r="15">
      <c r="A15" s="2" t="inlineStr">
        <is>
          <t>ACS Routine</t>
        </is>
      </c>
      <c r="B15" s="2" t="inlineStr">
        <is>
          <t>Automatic Class Selection routine。SMS Storage Class/Data Class/MGMT Class/Storage Group の動的割り当てルール。</t>
        </is>
      </c>
      <c r="C15" s="2" t="inlineStr">
        <is>
          <t>ISMF（ISPF メニュー Sx）または ISPF EDIT（SCDS member）</t>
        </is>
      </c>
      <c r="D15" s="2" t="inlineStr">
        <is>
          <t>ACTIVATE で SCDS → ACDS 反映、即時有効</t>
        </is>
      </c>
      <c r="E15" s="2" t="inlineStr">
        <is>
          <t>cfg-sms-class</t>
        </is>
      </c>
      <c r="F15" s="2" t="inlineStr">
        <is>
          <t>S_ZOS_DFSMS</t>
        </is>
      </c>
      <c r="G15" s="2" t="inlineStr">
        <is>
          <t>ACS routine は dataset name や JOBNAME パターンで分類。コンパイル必要。</t>
        </is>
      </c>
    </row>
    <row r="16">
      <c r="A16" s="2" t="inlineStr">
        <is>
          <t>WLM Service Definition</t>
        </is>
      </c>
      <c r="B16" s="2" t="inlineStr">
        <is>
          <t>WLM ポリシー（Service Class, Workload, Goal）。SCDS（Service Definition Data Set）に保存。</t>
        </is>
      </c>
      <c r="C16" s="2" t="inlineStr">
        <is>
          <t>WLM ISPF アプリケーション</t>
        </is>
      </c>
      <c r="D16" s="2" t="inlineStr">
        <is>
          <t>POLICY ACTIVATE で動的反映</t>
        </is>
      </c>
      <c r="E16" s="2" t="inlineStr">
        <is>
          <t>cfg-wlm-policy</t>
        </is>
      </c>
      <c r="F16" s="2" t="inlineStr">
        <is>
          <t>S_ZOS_WLM</t>
        </is>
      </c>
      <c r="G16" s="2" t="inlineStr">
        <is>
          <t>Goal = Velocity / Response Time / Discretionary。Period でステップ別 goal も可能。</t>
        </is>
      </c>
    </row>
    <row r="17">
      <c r="A17" s="2" t="inlineStr">
        <is>
          <t>PROGxx</t>
        </is>
      </c>
      <c r="B17" s="2" t="inlineStr">
        <is>
          <t>Program management（APF, LPA, LNKLST, EXIT）。</t>
        </is>
      </c>
      <c r="C17" s="2" t="inlineStr">
        <is>
          <t>ISPF EDIT</t>
        </is>
      </c>
      <c r="D17" s="2" t="inlineStr">
        <is>
          <t>SET PROG=xx で動的反映可能</t>
        </is>
      </c>
      <c r="E17" s="2" t="inlineStr">
        <is>
          <t>cfg-apf-add</t>
        </is>
      </c>
      <c r="F17" s="2" t="inlineStr">
        <is>
          <t>S_ZOS_Init_Tuning</t>
        </is>
      </c>
      <c r="G17" s="2" t="inlineStr">
        <is>
          <t>APF（Authorized Program Facility）追加で APF authorized library 定義。</t>
        </is>
      </c>
    </row>
    <row r="18">
      <c r="A18" s="2" t="inlineStr">
        <is>
          <t>LNKLSTxx</t>
        </is>
      </c>
      <c r="B18" s="2" t="inlineStr">
        <is>
          <t>Link List 定義（旧形式）。新規は PROGxx 内に統合推奨。</t>
        </is>
      </c>
      <c r="C18" s="2" t="inlineStr">
        <is>
          <t>ISPF EDIT</t>
        </is>
      </c>
      <c r="D18" s="2" t="inlineStr">
        <is>
          <t>次回 IPL or LLA REFRESH</t>
        </is>
      </c>
      <c r="E18" s="2" t="inlineStr">
        <is>
          <t>cfg-apf-add</t>
        </is>
      </c>
      <c r="F18" s="2" t="inlineStr">
        <is>
          <t>S_ZOS_Init_Tuning</t>
        </is>
      </c>
      <c r="G18" s="2" t="inlineStr">
        <is>
          <t>LNKLSTxx より PROGxx LNKLST ステートメントが現代的。</t>
        </is>
      </c>
    </row>
    <row r="19">
      <c r="A19" s="2" t="inlineStr">
        <is>
          <t>CLOCKxx</t>
        </is>
      </c>
      <c r="B19" s="2" t="inlineStr">
        <is>
          <t>システムクロック・タイムゾーン設定。</t>
        </is>
      </c>
      <c r="C19" s="2" t="inlineStr">
        <is>
          <t>ISPF EDIT</t>
        </is>
      </c>
      <c r="D19" s="2" t="inlineStr">
        <is>
          <t>次回 IPL 時</t>
        </is>
      </c>
      <c r="E19" s="2" t="inlineStr">
        <is>
          <t>cfg-parmlib-update</t>
        </is>
      </c>
      <c r="F19" s="2" t="inlineStr">
        <is>
          <t>S_ZOS_Init_Tuning</t>
        </is>
      </c>
      <c r="G19" s="2" t="inlineStr">
        <is>
          <t>TIMEZONE W.09.00.00 等で UTC からの offset 指定（日本は W=west of GMT は誤り、EAST 表記）。</t>
        </is>
      </c>
    </row>
    <row r="20">
      <c r="A20" s="2" t="inlineStr">
        <is>
          <t>LPALSTxx</t>
        </is>
      </c>
      <c r="B20" s="2" t="inlineStr">
        <is>
          <t>LPA（Link Pack Area）データセット連結定義。</t>
        </is>
      </c>
      <c r="C20" s="2" t="inlineStr">
        <is>
          <t>ISPF EDIT</t>
        </is>
      </c>
      <c r="D20" s="2" t="inlineStr">
        <is>
          <t>次回 IPL（CLPA 必要）</t>
        </is>
      </c>
      <c r="E20" s="2" t="inlineStr">
        <is>
          <t>cfg-clpa-ipl</t>
        </is>
      </c>
      <c r="F20" s="2" t="inlineStr">
        <is>
          <t>S_ZOS_Init_Tuning</t>
        </is>
      </c>
      <c r="G20" s="2" t="inlineStr">
        <is>
          <t>LPALIB に常駐モジュール配置。変更後 CLPA で LPA 再構築要。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0" customWidth="1" min="2" max="2"/>
    <col width="35" customWidth="1" min="3" max="3"/>
    <col width="35" customWidth="1" min="4" max="4"/>
    <col width="35" customWidth="1" min="5" max="5"/>
    <col width="22" customWidth="1" min="6" max="6"/>
    <col width="22" customWidth="1" min="7" max="7"/>
    <col width="16" customWidth="1" min="8" max="8"/>
    <col width="35" customWidth="1" min="9" max="9"/>
  </cols>
  <sheetData>
    <row r="1">
      <c r="A1" s="1" t="inlineStr">
        <is>
          <t>パラメータ名</t>
        </is>
      </c>
      <c r="B1" s="1" t="inlineStr">
        <is>
          <t>設定コマンド</t>
        </is>
      </c>
      <c r="C1" s="1" t="inlineStr">
        <is>
          <t>デフォルト</t>
        </is>
      </c>
      <c r="D1" s="1" t="inlineStr">
        <is>
          <t>取り得る値</t>
        </is>
      </c>
      <c r="E1" s="1" t="inlineStr">
        <is>
          <t>影響範囲</t>
        </is>
      </c>
      <c r="F1" s="1" t="inlineStr">
        <is>
          <t>関連</t>
        </is>
      </c>
      <c r="G1" s="1" t="inlineStr">
        <is>
          <t>関連手順</t>
        </is>
      </c>
      <c r="H1" s="1" t="inlineStr">
        <is>
          <t>出典</t>
        </is>
      </c>
      <c r="I1" s="1" t="inlineStr">
        <is>
          <t>注意点</t>
        </is>
      </c>
    </row>
    <row r="2">
      <c r="A2" s="2" t="inlineStr">
        <is>
          <t>MAXASSIZE</t>
        </is>
      </c>
      <c r="B2" s="2" t="inlineStr">
        <is>
          <t>BPXPRMxx</t>
        </is>
      </c>
      <c r="C2" s="2" t="inlineStr">
        <is>
          <t>2147483647（≒ 2GB-1）</t>
        </is>
      </c>
      <c r="D2" s="2" t="inlineStr">
        <is>
          <t>0〜2147483647（バイト）</t>
        </is>
      </c>
      <c r="E2" s="2" t="inlineStr">
        <is>
          <t>次回 IPL or SET OMVS=xx で動的反映</t>
        </is>
      </c>
      <c r="F2" s="2" t="inlineStr">
        <is>
          <t>USS, MAXSHAREPAGES</t>
        </is>
      </c>
      <c r="G2" s="2" t="inlineStr">
        <is>
          <t>cfg-uss-fs</t>
        </is>
      </c>
      <c r="H2" s="2" t="inlineStr">
        <is>
          <t>S_ZOS_USS</t>
        </is>
      </c>
      <c r="I2" s="2" t="inlineStr">
        <is>
          <t>USS プロセスの最大 address space サイズ。Java 等の大規模アプリでは 4GB 以上推奨。</t>
        </is>
      </c>
    </row>
    <row r="3">
      <c r="A3" s="2" t="inlineStr">
        <is>
          <t>MAXFILEPROC</t>
        </is>
      </c>
      <c r="B3" s="2" t="inlineStr">
        <is>
          <t>BPXPRMxx</t>
        </is>
      </c>
      <c r="C3" s="2" t="inlineStr">
        <is>
          <t>64000</t>
        </is>
      </c>
      <c r="D3" s="2" t="inlineStr">
        <is>
          <t>1〜524287</t>
        </is>
      </c>
      <c r="E3" s="2" t="inlineStr">
        <is>
          <t>次回 IPL or SET OMVS=xx</t>
        </is>
      </c>
      <c r="F3" s="2" t="inlineStr">
        <is>
          <t>USS, ulimit -n</t>
        </is>
      </c>
      <c r="G3" s="2" t="inlineStr">
        <is>
          <t>cfg-uss-fs</t>
        </is>
      </c>
      <c r="H3" s="2" t="inlineStr">
        <is>
          <t>S_ZOS_USS</t>
        </is>
      </c>
      <c r="I3" s="2" t="inlineStr">
        <is>
          <t>USS プロセスあたりの最大オープンファイル数。Web/DB サーバで増量必要なケース多い。</t>
        </is>
      </c>
    </row>
    <row r="4">
      <c r="A4" s="2" t="inlineStr">
        <is>
          <t>MAXTHREADS</t>
        </is>
      </c>
      <c r="B4" s="2" t="inlineStr">
        <is>
          <t>BPXPRMxx</t>
        </is>
      </c>
      <c r="C4" s="2" t="inlineStr">
        <is>
          <t>200</t>
        </is>
      </c>
      <c r="D4" s="2" t="inlineStr">
        <is>
          <t>0〜100000</t>
        </is>
      </c>
      <c r="E4" s="2" t="inlineStr">
        <is>
          <t>次回 IPL or SET OMVS=xx</t>
        </is>
      </c>
      <c r="F4" s="2" t="inlineStr">
        <is>
          <t>USS, MAXTHREADTASKS</t>
        </is>
      </c>
      <c r="G4" s="2" t="inlineStr">
        <is>
          <t>cfg-uss-fs</t>
        </is>
      </c>
      <c r="H4" s="2" t="inlineStr">
        <is>
          <t>S_ZOS_USS</t>
        </is>
      </c>
      <c r="I4" s="2" t="inlineStr">
        <is>
          <t>USS プロセスあたりの最大スレッド数。Java application server で増量推奨。</t>
        </is>
      </c>
    </row>
    <row r="5">
      <c r="A5" s="2" t="inlineStr">
        <is>
          <t>SMF TYPE</t>
        </is>
      </c>
      <c r="B5" s="2" t="inlineStr">
        <is>
          <t>SMFPRMxx の TYPE() オペランド</t>
        </is>
      </c>
      <c r="C5" s="2" t="inlineStr">
        <is>
          <t>サイトにより異なる（典型 0,30,42,70-79,80,89,90,99 等）</t>
        </is>
      </c>
      <c r="D5" s="2" t="inlineStr">
        <is>
          <t>0-255 の任意組み合わせ</t>
        </is>
      </c>
      <c r="E5" s="2" t="inlineStr">
        <is>
          <t>SET SMF=xx で動的反映</t>
        </is>
      </c>
      <c r="F5" s="2" t="inlineStr">
        <is>
          <t>SMF</t>
        </is>
      </c>
      <c r="G5" s="2" t="inlineStr">
        <is>
          <t>cfg-smf-collect</t>
        </is>
      </c>
      <c r="H5" s="2" t="inlineStr">
        <is>
          <t>S_ZOS_SMF</t>
        </is>
      </c>
      <c r="I5" s="2" t="inlineStr">
        <is>
          <t>TYPE 30 = ジョブ統計、80 = RACF、70-79 = RMF、89 = USS、99 = WLM。</t>
        </is>
      </c>
    </row>
    <row r="6">
      <c r="A6" s="2" t="inlineStr">
        <is>
          <t>CSAALOC</t>
        </is>
      </c>
      <c r="B6" s="2" t="inlineStr">
        <is>
          <t>IEASYSxx の CSA= オペランド</t>
        </is>
      </c>
      <c r="C6" s="2" t="inlineStr">
        <is>
          <t>サイトにより異なる（例: 256M）</t>
        </is>
      </c>
      <c r="D6" s="2" t="inlineStr">
        <is>
          <t>0M〜2047M</t>
        </is>
      </c>
      <c r="E6" s="2" t="inlineStr">
        <is>
          <t>次回 IPL 時のみ</t>
        </is>
      </c>
      <c r="F6" s="2" t="inlineStr">
        <is>
          <t>ECSA, SQA</t>
        </is>
      </c>
      <c r="G6" s="2" t="inlineStr">
        <is>
          <t>cfg-parmlib-update</t>
        </is>
      </c>
      <c r="H6" s="2" t="inlineStr">
        <is>
          <t>S_ZOS_Init_Tuning</t>
        </is>
      </c>
      <c r="I6" s="2" t="inlineStr">
        <is>
          <t>Common Storage Area サイズ。アプリ要件で増減。</t>
        </is>
      </c>
    </row>
    <row r="7">
      <c r="A7" s="2" t="inlineStr">
        <is>
          <t>ECSA</t>
        </is>
      </c>
      <c r="B7" s="2" t="inlineStr">
        <is>
          <t>IEASYSxx の CSA= で 2 番目の値</t>
        </is>
      </c>
      <c r="C7" s="2" t="inlineStr">
        <is>
          <t>サイトにより異なる（例: 1024M）</t>
        </is>
      </c>
      <c r="D7" s="2" t="inlineStr">
        <is>
          <t>0M〜2047M</t>
        </is>
      </c>
      <c r="E7" s="2" t="inlineStr">
        <is>
          <t>次回 IPL 時のみ</t>
        </is>
      </c>
      <c r="F7" s="2" t="inlineStr">
        <is>
          <t>CSAALOC</t>
        </is>
      </c>
      <c r="G7" s="2" t="inlineStr">
        <is>
          <t>cfg-parmlib-update</t>
        </is>
      </c>
      <c r="H7" s="2" t="inlineStr">
        <is>
          <t>S_ZOS_Init_Tuning</t>
        </is>
      </c>
      <c r="I7" s="2" t="inlineStr">
        <is>
          <t>Extended CSA。16MB 境界より上の CSA。多くのサブシステム（Db2, CICS）が消費。</t>
        </is>
      </c>
    </row>
    <row r="8">
      <c r="A8" s="2" t="inlineStr">
        <is>
          <t>GRSCNF</t>
        </is>
      </c>
      <c r="B8" s="2" t="inlineStr">
        <is>
          <t>IEASYSxx の GRS= オペランド</t>
        </is>
      </c>
      <c r="C8" s="2" t="inlineStr">
        <is>
          <t>STAR（Sysplex 環境）</t>
        </is>
      </c>
      <c r="D8" s="2" t="inlineStr">
        <is>
          <t>NONE / RING / STAR</t>
        </is>
      </c>
      <c r="E8" s="2" t="inlineStr">
        <is>
          <t>次回 IPL 時のみ</t>
        </is>
      </c>
      <c r="F8" s="2" t="inlineStr">
        <is>
          <t>GRS, GRSRNLxx</t>
        </is>
      </c>
      <c r="G8" s="2" t="inlineStr">
        <is>
          <t>cfg-grs-setup</t>
        </is>
      </c>
      <c r="H8" s="2" t="inlineStr">
        <is>
          <t>S_ZOS_Sysplex</t>
        </is>
      </c>
      <c r="I8" s="2" t="inlineStr">
        <is>
          <t>Sysplex 環境では STAR 必須。CF を介した Lock 構造で性能向上。</t>
        </is>
      </c>
    </row>
    <row r="9">
      <c r="A9" s="2" t="inlineStr">
        <is>
          <t>CLPA</t>
        </is>
      </c>
      <c r="B9" s="2" t="inlineStr">
        <is>
          <t>IEASYSxx の CLPA</t>
        </is>
      </c>
      <c r="C9" s="2" t="inlineStr">
        <is>
          <t>（なし）= 既存 LPA を再利用</t>
        </is>
      </c>
      <c r="D9" s="2" t="inlineStr">
        <is>
          <t>CLPA 指定 or 不指定</t>
        </is>
      </c>
      <c r="E9" s="2" t="inlineStr">
        <is>
          <t>次回 IPL 時のみ</t>
        </is>
      </c>
      <c r="F9" s="2" t="inlineStr">
        <is>
          <t>LPA, LPALSTxx</t>
        </is>
      </c>
      <c r="G9" s="2" t="inlineStr">
        <is>
          <t>cfg-clpa-ipl</t>
        </is>
      </c>
      <c r="H9" s="2" t="inlineStr">
        <is>
          <t>S_ZOS_Init_Tuning</t>
        </is>
      </c>
      <c r="I9" s="2" t="inlineStr">
        <is>
          <t>LPALIB から LPA 再構築。常駐モジュール変更 / メンテ後に必要。</t>
        </is>
      </c>
    </row>
    <row r="10">
      <c r="A10" s="2" t="inlineStr">
        <is>
          <t>JOBCLASS</t>
        </is>
      </c>
      <c r="B10" s="2" t="inlineStr">
        <is>
          <t>JES2 INITDECK の JOBCLASS(x)</t>
        </is>
      </c>
      <c r="C10" s="2" t="inlineStr">
        <is>
          <t>サイトにより異なる</t>
        </is>
      </c>
      <c r="D10" s="2" t="inlineStr">
        <is>
          <t>JOBCLASS(A)〜JOBCLASS(9)</t>
        </is>
      </c>
      <c r="E10" s="2" t="inlineStr">
        <is>
          <t>$T JOBCLASS(x),... で動的変更</t>
        </is>
      </c>
      <c r="F10" s="2" t="inlineStr">
        <is>
          <t>JES2 Class, Initiator</t>
        </is>
      </c>
      <c r="G10" s="2" t="inlineStr">
        <is>
          <t>cfg-jes2-init</t>
        </is>
      </c>
      <c r="H10" s="2" t="inlineStr">
        <is>
          <t>S_ZOS_JES2</t>
        </is>
      </c>
      <c r="I10" s="2" t="inlineStr">
        <is>
          <t>クラスごとに優先度・MAXJOBS 等を設定。CLASS=A は通常運用、TSU は TSO 専用。</t>
        </is>
      </c>
    </row>
    <row r="11">
      <c r="A11" s="2" t="inlineStr">
        <is>
          <t>INITDEF</t>
        </is>
      </c>
      <c r="B11" s="2" t="inlineStr">
        <is>
          <t>JES2 INITDECK の INITDEF</t>
        </is>
      </c>
      <c r="C11" s="2" t="inlineStr">
        <is>
          <t>サイトにより異なる</t>
        </is>
      </c>
      <c r="D11" s="2" t="inlineStr">
        <is>
          <t>1〜100 のイニシエータ数</t>
        </is>
      </c>
      <c r="E11" s="2" t="inlineStr">
        <is>
          <t>JES2 warm/cold start。$S I, $P I で動的開始/停止</t>
        </is>
      </c>
      <c r="F11" s="2" t="inlineStr">
        <is>
          <t>JES2 Initiator, JOBCLASS</t>
        </is>
      </c>
      <c r="G11" s="2" t="inlineStr">
        <is>
          <t>cfg-jes2-init</t>
        </is>
      </c>
      <c r="H11" s="2" t="inlineStr">
        <is>
          <t>S_ZOS_JES2</t>
        </is>
      </c>
      <c r="I11" s="2" t="inlineStr">
        <is>
          <t>INITDEF=10,A,B 等で 10 個のイニシエータを Class A,B 受け持ちで定義。</t>
        </is>
      </c>
    </row>
    <row r="12">
      <c r="A12" s="2" t="inlineStr">
        <is>
          <t>SPOOLDEF</t>
        </is>
      </c>
      <c r="B12" s="2" t="inlineStr">
        <is>
          <t>JES2 INITDECK の SPOOLDEF</t>
        </is>
      </c>
      <c r="C12" s="2" t="inlineStr">
        <is>
          <t>サイトにより異なる</t>
        </is>
      </c>
      <c r="D12" s="2" t="inlineStr">
        <is>
          <t>VOLSER, BUFSIZE 等</t>
        </is>
      </c>
      <c r="E12" s="2" t="inlineStr">
        <is>
          <t>JES2 cold start のみ</t>
        </is>
      </c>
      <c r="F12" s="2" t="inlineStr">
        <is>
          <t>JES2 SPOOL</t>
        </is>
      </c>
      <c r="G12" s="2" t="inlineStr">
        <is>
          <t>cfg-jes2-spool</t>
        </is>
      </c>
      <c r="H12" s="2" t="inlineStr">
        <is>
          <t>S_ZOS_JES2</t>
        </is>
      </c>
      <c r="I12" s="2" t="inlineStr">
        <is>
          <t>SPOOL volume 追加時は cold start 必要 or $T で hot add（条件あり）。</t>
        </is>
      </c>
    </row>
    <row r="13">
      <c r="A13" s="2" t="inlineStr">
        <is>
          <t>WLM Velocity Goal</t>
        </is>
      </c>
      <c r="B13" s="2" t="inlineStr">
        <is>
          <t>WLM Service Class 定義</t>
        </is>
      </c>
      <c r="C13" s="2" t="inlineStr">
        <is>
          <t>サイトにより異なる</t>
        </is>
      </c>
      <c r="D13" s="2" t="inlineStr">
        <is>
          <t>1〜99（%）</t>
        </is>
      </c>
      <c r="E13" s="2" t="inlineStr">
        <is>
          <t>WLM POLICY ACTIVATE で動的</t>
        </is>
      </c>
      <c r="F13" s="2" t="inlineStr">
        <is>
          <t>WLM, Service Class</t>
        </is>
      </c>
      <c r="G13" s="2" t="inlineStr">
        <is>
          <t>cfg-wlm-policy</t>
        </is>
      </c>
      <c r="H13" s="2" t="inlineStr">
        <is>
          <t>S_ZOS_WLM</t>
        </is>
      </c>
      <c r="I13" s="2" t="inlineStr">
        <is>
          <t>Velocity = (CPU using) / (CPU using + delays) %。バッチで 30〜60、STC で 70〜90 が一般的（要 IBM Sizing Guide 確認）。</t>
        </is>
      </c>
    </row>
    <row r="14">
      <c r="A14" s="2" t="inlineStr">
        <is>
          <t>WLM Response Time Goal</t>
        </is>
      </c>
      <c r="B14" s="2" t="inlineStr">
        <is>
          <t>WLM Service Class 定義</t>
        </is>
      </c>
      <c r="C14" s="2" t="inlineStr">
        <is>
          <t>サイトにより異なる</t>
        </is>
      </c>
      <c r="D14" s="2" t="inlineStr">
        <is>
          <t>ms / sec</t>
        </is>
      </c>
      <c r="E14" s="2" t="inlineStr">
        <is>
          <t>WLM POLICY ACTIVATE</t>
        </is>
      </c>
      <c r="F14" s="2" t="inlineStr">
        <is>
          <t>WLM, Service Class</t>
        </is>
      </c>
      <c r="G14" s="2" t="inlineStr">
        <is>
          <t>cfg-wlm-policy</t>
        </is>
      </c>
      <c r="H14" s="2" t="inlineStr">
        <is>
          <t>S_ZOS_WLM</t>
        </is>
      </c>
      <c r="I14" s="2" t="inlineStr">
        <is>
          <t>Average Response Time / Percentile Response Time の 2 種。CICS/IMS 等の対話業務で使用。</t>
        </is>
      </c>
    </row>
    <row r="15">
      <c r="A15" s="2" t="inlineStr">
        <is>
          <t>AUTH</t>
        </is>
      </c>
      <c r="B15" s="2" t="inlineStr">
        <is>
          <t>CONSOLxx の AUTH() オペランド</t>
        </is>
      </c>
      <c r="C15" s="2" t="inlineStr">
        <is>
          <t>INFO（最小権限）</t>
        </is>
      </c>
      <c r="D15" s="2" t="inlineStr">
        <is>
          <t>INFO / SYS / IO / CONS / MASTER</t>
        </is>
      </c>
      <c r="E15" s="2" t="inlineStr">
        <is>
          <t>次回 IPL or VARY CN</t>
        </is>
      </c>
      <c r="F15" s="2" t="inlineStr">
        <is>
          <t>Console</t>
        </is>
      </c>
      <c r="G15" s="2" t="inlineStr">
        <is>
          <t>cfg-console-add</t>
        </is>
      </c>
      <c r="H15" s="2" t="inlineStr">
        <is>
          <t>S_ZOS_MVS_Init</t>
        </is>
      </c>
      <c r="I15" s="2" t="inlineStr">
        <is>
          <t>MASTER 権限のコンソールは重要オペレータコマンド発行可能。RACF 連携でユーザ単位制御も可能。</t>
        </is>
      </c>
    </row>
    <row r="16">
      <c r="A16" s="2" t="inlineStr">
        <is>
          <t>TCPIP MAXSOCK</t>
        </is>
      </c>
      <c r="B16" s="2" t="inlineStr">
        <is>
          <t>PROFILE.TCPIP の TCPCONFIG MAXSOCK</t>
        </is>
      </c>
      <c r="C16" s="2" t="inlineStr">
        <is>
          <t>TCPIP STC 起動時の値</t>
        </is>
      </c>
      <c r="D16" s="2" t="inlineStr">
        <is>
          <t>整数</t>
        </is>
      </c>
      <c r="E16" s="2" t="inlineStr">
        <is>
          <t>TCPIP STC 再起動 or VARY TCPIP,,OBEYFILE</t>
        </is>
      </c>
      <c r="F16" s="2" t="inlineStr">
        <is>
          <t>TCP/IP</t>
        </is>
      </c>
      <c r="G16" s="2" t="inlineStr">
        <is>
          <t>cfg-tcpip-profile</t>
        </is>
      </c>
      <c r="H16" s="2" t="inlineStr">
        <is>
          <t>S_ZOS_CommServer</t>
        </is>
      </c>
      <c r="I16" s="2" t="inlineStr">
        <is>
          <t>同時オープン socket 上限。Web/Server 用途では大きくする必要あり。</t>
        </is>
      </c>
    </row>
    <row r="17">
      <c r="A17" s="2" t="inlineStr">
        <is>
          <t>RACF SETROPTS</t>
        </is>
      </c>
      <c r="B17" s="2" t="inlineStr">
        <is>
          <t>SETROPTS コマンド</t>
        </is>
      </c>
      <c r="C17" s="2" t="inlineStr">
        <is>
          <t>サイトポリシーにより異なる</t>
        </is>
      </c>
      <c r="D17" s="2" t="inlineStr">
        <is>
          <t>PASSWORD(...) / GENERIC(...) / CLASSACT(...) / AUDIT(...) 等</t>
        </is>
      </c>
      <c r="E17" s="2" t="inlineStr">
        <is>
          <t>即時</t>
        </is>
      </c>
      <c r="F17" s="2" t="inlineStr">
        <is>
          <t>RACF</t>
        </is>
      </c>
      <c r="G17" s="2" t="inlineStr">
        <is>
          <t>cfg-racf-permit</t>
        </is>
      </c>
      <c r="H17" s="2" t="inlineStr">
        <is>
          <t>S_ZOS_RACF</t>
        </is>
      </c>
      <c r="I17" s="2" t="inlineStr">
        <is>
          <t>RACF 全体設定変更コマンド。SETR LIST で現状確認。</t>
        </is>
      </c>
    </row>
    <row r="18">
      <c r="A18" s="2" t="inlineStr">
        <is>
          <t>PASSWORD INTERVAL</t>
        </is>
      </c>
      <c r="B18" s="2" t="inlineStr">
        <is>
          <t>RACF SETROPTS PASSWORD(INTERVAL(n))</t>
        </is>
      </c>
      <c r="C18" s="2" t="inlineStr">
        <is>
          <t>サイトポリシーで設定（典型 30/60/90 日）</t>
        </is>
      </c>
      <c r="D18" s="2" t="inlineStr">
        <is>
          <t>1〜254 日 / 0=無期限</t>
        </is>
      </c>
      <c r="E18" s="2" t="inlineStr">
        <is>
          <t>即時</t>
        </is>
      </c>
      <c r="F18" s="2" t="inlineStr">
        <is>
          <t>RACF, USERID</t>
        </is>
      </c>
      <c r="G18" s="2" t="inlineStr">
        <is>
          <t>cfg-racf-permit</t>
        </is>
      </c>
      <c r="H18" s="2" t="inlineStr">
        <is>
          <t>S_ZOS_RACF</t>
        </is>
      </c>
      <c r="I18" s="2" t="inlineStr">
        <is>
          <t>ユーザパスワード有効期限。組織のセキュリティポリシーに従い設定。</t>
        </is>
      </c>
    </row>
    <row r="19">
      <c r="A19" s="2" t="inlineStr">
        <is>
          <t>FUNCTION suffix (LE)</t>
        </is>
      </c>
      <c r="B19" s="2" t="inlineStr">
        <is>
          <t>CEEPRMxx</t>
        </is>
      </c>
      <c r="C19" s="2" t="inlineStr">
        <is>
          <t>サイトにより異なる</t>
        </is>
      </c>
      <c r="D19" s="2" t="inlineStr">
        <is>
          <t>Language Environment runtime options</t>
        </is>
      </c>
      <c r="E19" s="2" t="inlineStr">
        <is>
          <t>次回 IPL or SET CEE=xx</t>
        </is>
      </c>
      <c r="F19" s="2" t="inlineStr">
        <is>
          <t>Language Environment</t>
        </is>
      </c>
      <c r="G19" s="2" t="inlineStr"/>
      <c r="H19" s="2" t="inlineStr">
        <is>
          <t>S_ZOS_LE</t>
        </is>
      </c>
      <c r="I19" s="2" t="inlineStr">
        <is>
          <t>LE runtime options（HEAP, STACK, ABTERMENC 等）。COBOL/PL/I/C プログラム実行環境。</t>
        </is>
      </c>
    </row>
    <row r="20">
      <c r="A20" s="2" t="inlineStr">
        <is>
          <t>MAXSPACE</t>
        </is>
      </c>
      <c r="B20" s="2" t="inlineStr">
        <is>
          <t>IEASYSxx の MAXSPACE</t>
        </is>
      </c>
      <c r="C20" s="2" t="inlineStr">
        <is>
          <t>1500M</t>
        </is>
      </c>
      <c r="D20" s="2" t="inlineStr">
        <is>
          <t>100M 〜</t>
        </is>
      </c>
      <c r="E20" s="2" t="inlineStr">
        <is>
          <t>次回 IPL 時のみ</t>
        </is>
      </c>
      <c r="F20" s="2" t="inlineStr">
        <is>
          <t>Auxiliary Storage, PLPA</t>
        </is>
      </c>
      <c r="G20" s="2" t="inlineStr">
        <is>
          <t>cfg-parmlib-update</t>
        </is>
      </c>
      <c r="H20" s="2" t="inlineStr">
        <is>
          <t>S_ZOS_Init_Tuning</t>
        </is>
      </c>
      <c r="I20" s="2" t="inlineStr">
        <is>
          <t>Aux Storage に書き出される SVC dump の最大サイズ。dump 過大化抑止。</t>
        </is>
      </c>
    </row>
    <row r="21">
      <c r="A21" s="2" t="inlineStr">
        <is>
          <t>SCH</t>
        </is>
      </c>
      <c r="B21" s="2" t="inlineStr">
        <is>
          <t>IEASYSxx の SCH= オペランド</t>
        </is>
      </c>
      <c r="C21" s="2" t="inlineStr">
        <is>
          <t>00（IEASCH00 を読む）</t>
        </is>
      </c>
      <c r="D21" s="2" t="inlineStr">
        <is>
          <t>00〜99 の suffix 連結</t>
        </is>
      </c>
      <c r="E21" s="2" t="inlineStr">
        <is>
          <t>次回 IPL 時のみ</t>
        </is>
      </c>
      <c r="F21" s="2" t="inlineStr">
        <is>
          <t>Subsystem Initialization</t>
        </is>
      </c>
      <c r="G21" s="2" t="inlineStr">
        <is>
          <t>cfg-parmlib-update</t>
        </is>
      </c>
      <c r="H21" s="2" t="inlineStr">
        <is>
          <t>S_ZOS_Init_Tuning</t>
        </is>
      </c>
      <c r="I21" s="2" t="inlineStr">
        <is>
          <t>Schedule（スケジュール）情報。IEASCHxx で program properties 定義。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60" customWidth="1" min="3" max="3"/>
    <col width="22" customWidth="1" min="4" max="4"/>
    <col width="22" customWidth="1" min="5" max="5"/>
    <col width="16" customWidth="1" min="6" max="6"/>
  </cols>
  <sheetData>
    <row r="1">
      <c r="A1" s="1" t="inlineStr">
        <is>
          <t>用語</t>
        </is>
      </c>
      <c r="B1" s="1" t="inlineStr">
        <is>
          <t>カテゴリ</t>
        </is>
      </c>
      <c r="C1" s="1" t="inlineStr">
        <is>
          <t>定義</t>
        </is>
      </c>
      <c r="D1" s="1" t="inlineStr">
        <is>
          <t>関連用語</t>
        </is>
      </c>
      <c r="E1" s="1" t="inlineStr">
        <is>
          <t>関連手順</t>
        </is>
      </c>
      <c r="F1" s="1" t="inlineStr">
        <is>
          <t>出典</t>
        </is>
      </c>
    </row>
    <row r="2">
      <c r="A2" s="2" t="inlineStr">
        <is>
          <t>z/OS</t>
        </is>
      </c>
      <c r="B2" s="2" t="inlineStr">
        <is>
          <t>コア OS</t>
        </is>
      </c>
      <c r="C2" s="2" t="inlineStr">
        <is>
          <t>IBM Z メインフレームの 64-bit エンタープライズ OS。MVS を起源とし、JES2/JCL/SMS/RACF/USS 等を統合。</t>
        </is>
      </c>
      <c r="D2" s="2" t="inlineStr">
        <is>
          <t>MVS, IBM Z, LPAR</t>
        </is>
      </c>
      <c r="E2" s="2" t="inlineStr"/>
      <c r="F2" s="2" t="inlineStr">
        <is>
          <t>S_ZOS_Intro</t>
        </is>
      </c>
    </row>
    <row r="3">
      <c r="A3" s="2" t="inlineStr">
        <is>
          <t>MVS</t>
        </is>
      </c>
      <c r="B3" s="2" t="inlineStr">
        <is>
          <t>コア OS</t>
        </is>
      </c>
      <c r="C3" s="2" t="inlineStr">
        <is>
          <t>Multiple Virtual Storage。z/OS の前身、現在も内部呼称として使われる（MVS データセット、MVS コマンド等）。</t>
        </is>
      </c>
      <c r="D3" s="2" t="inlineStr">
        <is>
          <t>z/OS, BCP</t>
        </is>
      </c>
      <c r="E3" s="2" t="inlineStr"/>
      <c r="F3" s="2" t="inlineStr">
        <is>
          <t>S_ZOS_Intro</t>
        </is>
      </c>
    </row>
    <row r="4">
      <c r="A4" s="2" t="inlineStr">
        <is>
          <t>BCP</t>
        </is>
      </c>
      <c r="B4" s="2" t="inlineStr">
        <is>
          <t>コア OS</t>
        </is>
      </c>
      <c r="C4" s="2" t="inlineStr">
        <is>
          <t>Base Control Program。z/OS のカーネル相当。スーパーバイザ・ディスパッチャ・I/O サブシステム等を含む。</t>
        </is>
      </c>
      <c r="D4" s="2" t="inlineStr">
        <is>
          <t>MVS, z/OS</t>
        </is>
      </c>
      <c r="E4" s="2" t="inlineStr"/>
      <c r="F4" s="2" t="inlineStr">
        <is>
          <t>S_ZOS_Intro</t>
        </is>
      </c>
    </row>
    <row r="5">
      <c r="A5" s="2" t="inlineStr">
        <is>
          <t>IPL</t>
        </is>
      </c>
      <c r="B5" s="2" t="inlineStr">
        <is>
          <t>コア OS</t>
        </is>
      </c>
      <c r="C5" s="2" t="inlineStr">
        <is>
          <t>Initial Program Load。z/OS の起動プロセス。SYSRES からブート、NIP, MVS startup を経て multi-user 状態に。</t>
        </is>
      </c>
      <c r="D5" s="2" t="inlineStr">
        <is>
          <t>NIP, SYSRES, LOADxx</t>
        </is>
      </c>
      <c r="E5" s="2" t="inlineStr">
        <is>
          <t>inc-ipl-fail</t>
        </is>
      </c>
      <c r="F5" s="2" t="inlineStr">
        <is>
          <t>S_ZOS_MVS_Init</t>
        </is>
      </c>
    </row>
    <row r="6">
      <c r="A6" s="2" t="inlineStr">
        <is>
          <t>NIP</t>
        </is>
      </c>
      <c r="B6" s="2" t="inlineStr">
        <is>
          <t>コア OS</t>
        </is>
      </c>
      <c r="C6" s="2" t="inlineStr">
        <is>
          <t>Nucleus Initialization Program。IPL 中に PARMLIB を読み、システム構成を初期化するプログラム。</t>
        </is>
      </c>
      <c r="D6" s="2" t="inlineStr">
        <is>
          <t>IPL, PARMLIB</t>
        </is>
      </c>
      <c r="E6" s="2" t="inlineStr">
        <is>
          <t>inc-ipl-fail</t>
        </is>
      </c>
      <c r="F6" s="2" t="inlineStr">
        <is>
          <t>S_ZOS_MVS_Init</t>
        </is>
      </c>
    </row>
    <row r="7">
      <c r="A7" s="2" t="inlineStr">
        <is>
          <t>Address Space</t>
        </is>
      </c>
      <c r="B7" s="2" t="inlineStr">
        <is>
          <t>コア OS</t>
        </is>
      </c>
      <c r="C7" s="2" t="inlineStr">
        <is>
          <t>z/OS のプロセス相当。各ジョブ・STC・TSO ユーザに 1 つ割り当てられる 64-bit 仮想アドレス空間。</t>
        </is>
      </c>
      <c r="D7" s="2" t="inlineStr">
        <is>
          <t>ASID, STC, TSO</t>
        </is>
      </c>
      <c r="E7" s="2" t="inlineStr"/>
      <c r="F7" s="2" t="inlineStr">
        <is>
          <t>S_ZOS_MVS_Init</t>
        </is>
      </c>
    </row>
    <row r="8">
      <c r="A8" s="2" t="inlineStr">
        <is>
          <t>ASID</t>
        </is>
      </c>
      <c r="B8" s="2" t="inlineStr">
        <is>
          <t>コア OS</t>
        </is>
      </c>
      <c r="C8" s="2" t="inlineStr">
        <is>
          <t>Address Space ID。各 Address Space を識別する 16-bit 番号（最大 65535）。</t>
        </is>
      </c>
      <c r="D8" s="2" t="inlineStr">
        <is>
          <t>Address Space</t>
        </is>
      </c>
      <c r="E8" s="2" t="inlineStr"/>
      <c r="F8" s="2" t="inlineStr">
        <is>
          <t>S_ZOS_MVS_Init</t>
        </is>
      </c>
    </row>
    <row r="9">
      <c r="A9" s="2" t="inlineStr">
        <is>
          <t>STC</t>
        </is>
      </c>
      <c r="B9" s="2" t="inlineStr">
        <is>
          <t>コア OS</t>
        </is>
      </c>
      <c r="C9" s="2" t="inlineStr">
        <is>
          <t>Started Task。S コマンドで起動するシステムサービス。PROCLIB 配下の &lt;name&gt;.proc を実行。</t>
        </is>
      </c>
      <c r="D9" s="2" t="inlineStr">
        <is>
          <t>PROCLIB, Address Space</t>
        </is>
      </c>
      <c r="E9" s="2" t="inlineStr">
        <is>
          <t>cfg-stc-startup</t>
        </is>
      </c>
      <c r="F9" s="2" t="inlineStr">
        <is>
          <t>S_ZOS_MVS_Init</t>
        </is>
      </c>
    </row>
    <row r="10">
      <c r="A10" s="2" t="inlineStr">
        <is>
          <t>TSO/E</t>
        </is>
      </c>
      <c r="B10" s="2" t="inlineStr">
        <is>
          <t>コア OS</t>
        </is>
      </c>
      <c r="C10" s="2" t="inlineStr">
        <is>
          <t>Time Sharing Option / Extensions。z/OS の対話型ユーザインターフェース。LOGON で開始、ISPF が標準シェル。</t>
        </is>
      </c>
      <c r="D10" s="2" t="inlineStr">
        <is>
          <t>ISPF, LOGON, REXX</t>
        </is>
      </c>
      <c r="E10" s="2" t="inlineStr">
        <is>
          <t>cfg-tso-logon</t>
        </is>
      </c>
      <c r="F10" s="2" t="inlineStr">
        <is>
          <t>S_ZOS_TSO</t>
        </is>
      </c>
    </row>
    <row r="11">
      <c r="A11" s="2" t="inlineStr">
        <is>
          <t>Batch</t>
        </is>
      </c>
      <c r="B11" s="2" t="inlineStr">
        <is>
          <t>コア OS</t>
        </is>
      </c>
      <c r="C11" s="2" t="inlineStr">
        <is>
          <t>JCL を介したバッチジョブ実行。JES2 が SUBMIT を受け付け、INITDECK で定義された initiator が実行。</t>
        </is>
      </c>
      <c r="D11" s="2" t="inlineStr">
        <is>
          <t>JCL, JES2, Initiator</t>
        </is>
      </c>
      <c r="E11" s="2" t="inlineStr">
        <is>
          <t>cfg-job-submit</t>
        </is>
      </c>
      <c r="F11" s="2" t="inlineStr">
        <is>
          <t>S_ZOS_Intro</t>
        </is>
      </c>
    </row>
    <row r="12">
      <c r="A12" s="2" t="inlineStr">
        <is>
          <t>JES2</t>
        </is>
      </c>
      <c r="B12" s="2" t="inlineStr">
        <is>
          <t>JES2 / JCL</t>
        </is>
      </c>
      <c r="C12" s="2" t="inlineStr">
        <is>
          <t>Job Entry Subsystem 2。z/OS のジョブ管理サブシステム。JCL 受付、初期化、出力管理を担当。JES3 もあるが JES2 が主流。</t>
        </is>
      </c>
      <c r="D12" s="2" t="inlineStr">
        <is>
          <t>JCL, SPOOL, Initiator, NJE</t>
        </is>
      </c>
      <c r="E12" s="2" t="inlineStr">
        <is>
          <t>cfg-jes2-init</t>
        </is>
      </c>
      <c r="F12" s="2" t="inlineStr">
        <is>
          <t>S_ZOS_JES2</t>
        </is>
      </c>
    </row>
    <row r="13">
      <c r="A13" s="2" t="inlineStr">
        <is>
          <t>JCL</t>
        </is>
      </c>
      <c r="B13" s="2" t="inlineStr">
        <is>
          <t>JES2 / JCL</t>
        </is>
      </c>
      <c r="C13" s="2" t="inlineStr">
        <is>
          <t>Job Control Language。z/OS バッチジョブを記述する言語。JOB / EXEC / DD ステートメントが主要構造。</t>
        </is>
      </c>
      <c r="D13" s="2" t="inlineStr">
        <is>
          <t>JES2, EXEC, DD</t>
        </is>
      </c>
      <c r="E13" s="2" t="inlineStr">
        <is>
          <t>cfg-job-submit</t>
        </is>
      </c>
      <c r="F13" s="2" t="inlineStr">
        <is>
          <t>S_ZOS_JCL_Ref</t>
        </is>
      </c>
    </row>
    <row r="14">
      <c r="A14" s="2" t="inlineStr">
        <is>
          <t>JES2 SPOOL</t>
        </is>
      </c>
      <c r="B14" s="2" t="inlineStr">
        <is>
          <t>JES2 / JCL</t>
        </is>
      </c>
      <c r="C14" s="2" t="inlineStr">
        <is>
          <t>JES2 が使用する共有 DASD スプール。ジョブ JCL/SYSOUT/SYSIN 等を一時保管。複数 spool volume で構成。</t>
        </is>
      </c>
      <c r="D14" s="2" t="inlineStr">
        <is>
          <t>JES2, SPOOL Volume</t>
        </is>
      </c>
      <c r="E14" s="2" t="inlineStr">
        <is>
          <t>inc-jes2-spool-full</t>
        </is>
      </c>
      <c r="F14" s="2" t="inlineStr">
        <is>
          <t>S_ZOS_JES2</t>
        </is>
      </c>
    </row>
    <row r="15">
      <c r="A15" s="2" t="inlineStr">
        <is>
          <t>JES2 Initiator</t>
        </is>
      </c>
      <c r="B15" s="2" t="inlineStr">
        <is>
          <t>JES2 / JCL</t>
        </is>
      </c>
      <c r="C15" s="2" t="inlineStr">
        <is>
          <t>JES2 イニシエータ。ジョブクラスからジョブを取り出して実行する機構。INITDECK で定義、$DA/$DI で表示。</t>
        </is>
      </c>
      <c r="D15" s="2" t="inlineStr">
        <is>
          <t>JES2, JES2 Class, INITDECK</t>
        </is>
      </c>
      <c r="E15" s="2" t="inlineStr">
        <is>
          <t>cfg-jes2-init</t>
        </is>
      </c>
      <c r="F15" s="2" t="inlineStr">
        <is>
          <t>S_ZOS_JES2</t>
        </is>
      </c>
    </row>
    <row r="16">
      <c r="A16" s="2" t="inlineStr">
        <is>
          <t>JES2 Class</t>
        </is>
      </c>
      <c r="B16" s="2" t="inlineStr">
        <is>
          <t>JES2 / JCL</t>
        </is>
      </c>
      <c r="C16" s="2" t="inlineStr">
        <is>
          <t>JCL の CLASS= で指定する 1 文字（A-Z, 0-9）。Initiator の受け持ちクラスと一致したジョブが実行される。</t>
        </is>
      </c>
      <c r="D16" s="2" t="inlineStr">
        <is>
          <t>JES2 Initiator, JOBCLASS</t>
        </is>
      </c>
      <c r="E16" s="2" t="inlineStr">
        <is>
          <t>cfg-jes2-init</t>
        </is>
      </c>
      <c r="F16" s="2" t="inlineStr">
        <is>
          <t>S_ZOS_JES2</t>
        </is>
      </c>
    </row>
    <row r="17">
      <c r="A17" s="2" t="inlineStr">
        <is>
          <t>PROCLIB</t>
        </is>
      </c>
      <c r="B17" s="2" t="inlineStr">
        <is>
          <t>JES2 / JCL</t>
        </is>
      </c>
      <c r="C17" s="2" t="inlineStr">
        <is>
          <t>JCL Procedure Library。catalogued procedure を格納する PDS。SYS1.PROCLIB 等が標準。</t>
        </is>
      </c>
      <c r="D17" s="2" t="inlineStr">
        <is>
          <t>JCL, EXEC, PROC</t>
        </is>
      </c>
      <c r="E17" s="2" t="inlineStr">
        <is>
          <t>cfg-stc-startup</t>
        </is>
      </c>
      <c r="F17" s="2" t="inlineStr">
        <is>
          <t>S_ZOS_JCL_Ref</t>
        </is>
      </c>
    </row>
    <row r="18">
      <c r="A18" s="2" t="inlineStr">
        <is>
          <t>NJE</t>
        </is>
      </c>
      <c r="B18" s="2" t="inlineStr">
        <is>
          <t>JES2 / JCL</t>
        </is>
      </c>
      <c r="C18" s="2" t="inlineStr">
        <is>
          <t>Network Job Entry。JES2 ノード間でジョブ・SYSOUT を転送する機構。NETSRV で定義。</t>
        </is>
      </c>
      <c r="D18" s="2" t="inlineStr">
        <is>
          <t>JES2</t>
        </is>
      </c>
      <c r="E18" s="2" t="inlineStr">
        <is>
          <t>cfg-jes2-nje</t>
        </is>
      </c>
      <c r="F18" s="2" t="inlineStr">
        <is>
          <t>S_ZOS_JES2</t>
        </is>
      </c>
    </row>
    <row r="19">
      <c r="A19" s="2" t="inlineStr">
        <is>
          <t>SYSOUT</t>
        </is>
      </c>
      <c r="B19" s="2" t="inlineStr">
        <is>
          <t>JES2 / JCL</t>
        </is>
      </c>
      <c r="C19" s="2" t="inlineStr">
        <is>
          <t>ジョブの出力データセット。CLASS で出力先・後処理（HOLD/PRINT/PURGE）を制御。</t>
        </is>
      </c>
      <c r="D19" s="2" t="inlineStr">
        <is>
          <t>JES2, MSGCLASS</t>
        </is>
      </c>
      <c r="E19" s="2" t="inlineStr">
        <is>
          <t>cfg-job-submit</t>
        </is>
      </c>
      <c r="F19" s="2" t="inlineStr">
        <is>
          <t>S_ZOS_JCL_Ref</t>
        </is>
      </c>
    </row>
    <row r="20">
      <c r="A20" s="2" t="inlineStr">
        <is>
          <t>PARMLIB</t>
        </is>
      </c>
      <c r="B20" s="2" t="inlineStr">
        <is>
          <t>PARMLIB / 設定</t>
        </is>
      </c>
      <c r="C20" s="2" t="inlineStr">
        <is>
          <t>SYS1.PARMLIB（および concatenation chain）。z/OS の主要設定ファイル群を格納する PDS。</t>
        </is>
      </c>
      <c r="D20" s="2" t="inlineStr">
        <is>
          <t>LOADxx, IEASYSxx, BPXPRMxx</t>
        </is>
      </c>
      <c r="E20" s="2" t="inlineStr">
        <is>
          <t>cfg-parmlib-update</t>
        </is>
      </c>
      <c r="F20" s="2" t="inlineStr">
        <is>
          <t>S_ZOS_Init_Tuning</t>
        </is>
      </c>
    </row>
    <row r="21">
      <c r="A21" s="2" t="inlineStr">
        <is>
          <t>LOADxx</t>
        </is>
      </c>
      <c r="B21" s="2" t="inlineStr">
        <is>
          <t>PARMLIB / 設定</t>
        </is>
      </c>
      <c r="C21" s="2" t="inlineStr">
        <is>
          <t>PARMLIB 内の起点メンバ。IODF / IEASYS suffix / PARMLIB チェーン等を定義。IPL 時に LOADxx → IEASYS の順で読まれる。</t>
        </is>
      </c>
      <c r="D21" s="2" t="inlineStr">
        <is>
          <t>PARMLIB, IEASYS</t>
        </is>
      </c>
      <c r="E21" s="2" t="inlineStr">
        <is>
          <t>cfg-parmlib-update</t>
        </is>
      </c>
      <c r="F21" s="2" t="inlineStr">
        <is>
          <t>S_ZOS_Init_Tuning</t>
        </is>
      </c>
    </row>
    <row r="22">
      <c r="A22" s="2" t="inlineStr">
        <is>
          <t>IEASYSxx</t>
        </is>
      </c>
      <c r="B22" s="2" t="inlineStr">
        <is>
          <t>PARMLIB / 設定</t>
        </is>
      </c>
      <c r="C22" s="2" t="inlineStr">
        <is>
          <t>システム初期化パラメータメンバ。SQA, GRSCNF, SCH, CLPA 等の主要パラメータを集約。</t>
        </is>
      </c>
      <c r="D22" s="2" t="inlineStr">
        <is>
          <t>PARMLIB, LOADxx</t>
        </is>
      </c>
      <c r="E22" s="2" t="inlineStr">
        <is>
          <t>cfg-parmlib-update</t>
        </is>
      </c>
      <c r="F22" s="2" t="inlineStr">
        <is>
          <t>S_ZOS_Init_Tuning</t>
        </is>
      </c>
    </row>
    <row r="23">
      <c r="A23" s="2" t="inlineStr">
        <is>
          <t>IEFSSNxx</t>
        </is>
      </c>
      <c r="B23" s="2" t="inlineStr">
        <is>
          <t>PARMLIB / 設定</t>
        </is>
      </c>
      <c r="C23" s="2" t="inlineStr">
        <is>
          <t>サブシステム定義メンバ。JES2, RACF, SMF, OMVS 等のサブシステムを登録。IPL 時に順序通り起動。</t>
        </is>
      </c>
      <c r="D23" s="2" t="inlineStr">
        <is>
          <t>PARMLIB, JES2, RACF</t>
        </is>
      </c>
      <c r="E23" s="2" t="inlineStr">
        <is>
          <t>cfg-parmlib-update</t>
        </is>
      </c>
      <c r="F23" s="2" t="inlineStr">
        <is>
          <t>S_ZOS_Init_Tuning</t>
        </is>
      </c>
    </row>
    <row r="24">
      <c r="A24" s="2" t="inlineStr">
        <is>
          <t>BPXPRMxx</t>
        </is>
      </c>
      <c r="B24" s="2" t="inlineStr">
        <is>
          <t>PARMLIB / 設定</t>
        </is>
      </c>
      <c r="C24" s="2" t="inlineStr">
        <is>
          <t>USS（OMVS）の構成メンバ。MAXASSIZE, MAXFILEPROC, ROOT FILESYSTEM 等を定義。</t>
        </is>
      </c>
      <c r="D24" s="2" t="inlineStr">
        <is>
          <t>USS, OMVS, HFS, zFS</t>
        </is>
      </c>
      <c r="E24" s="2" t="inlineStr">
        <is>
          <t>cfg-uss-fs</t>
        </is>
      </c>
      <c r="F24" s="2" t="inlineStr">
        <is>
          <t>S_ZOS_USS</t>
        </is>
      </c>
    </row>
    <row r="25">
      <c r="A25" s="2" t="inlineStr">
        <is>
          <t>SMFPRMxx</t>
        </is>
      </c>
      <c r="B25" s="2" t="inlineStr">
        <is>
          <t>PARMLIB / 設定</t>
        </is>
      </c>
      <c r="C25" s="2" t="inlineStr">
        <is>
          <t>SMF 設定メンバ。記録対象 type、出力先データセット、バッファ等を定義。</t>
        </is>
      </c>
      <c r="D25" s="2" t="inlineStr">
        <is>
          <t>SMF, PARMLIB</t>
        </is>
      </c>
      <c r="E25" s="2" t="inlineStr">
        <is>
          <t>cfg-smf-collect</t>
        </is>
      </c>
      <c r="F25" s="2" t="inlineStr">
        <is>
          <t>S_ZOS_SMF</t>
        </is>
      </c>
    </row>
    <row r="26">
      <c r="A26" s="2" t="inlineStr">
        <is>
          <t>CONSOLxx</t>
        </is>
      </c>
      <c r="B26" s="2" t="inlineStr">
        <is>
          <t>PARMLIB / 設定</t>
        </is>
      </c>
      <c r="C26" s="2" t="inlineStr">
        <is>
          <t>コンソール定義メンバ。MCS / EMCS コンソール、HARDCOPY、AUTH 等を定義。</t>
        </is>
      </c>
      <c r="D26" s="2" t="inlineStr">
        <is>
          <t>Console, MCS</t>
        </is>
      </c>
      <c r="E26" s="2" t="inlineStr">
        <is>
          <t>cfg-console-add</t>
        </is>
      </c>
      <c r="F26" s="2" t="inlineStr">
        <is>
          <t>S_ZOS_MVS_Init</t>
        </is>
      </c>
    </row>
    <row r="27">
      <c r="A27" s="2" t="inlineStr">
        <is>
          <t>CLPA</t>
        </is>
      </c>
      <c r="B27" s="2" t="inlineStr">
        <is>
          <t>PARMLIB / 設定</t>
        </is>
      </c>
      <c r="C27" s="2" t="inlineStr">
        <is>
          <t>Create Link Pack Area。LPALIB から LPA を再作成する IPL オプション。常駐モジュール変更時に必要。</t>
        </is>
      </c>
      <c r="D27" s="2" t="inlineStr">
        <is>
          <t>LPA, LLA, IEASYS</t>
        </is>
      </c>
      <c r="E27" s="2" t="inlineStr">
        <is>
          <t>cfg-clpa-ipl</t>
        </is>
      </c>
      <c r="F27" s="2" t="inlineStr">
        <is>
          <t>S_ZOS_Init_Tuning</t>
        </is>
      </c>
    </row>
    <row r="28">
      <c r="A28" s="2" t="inlineStr">
        <is>
          <t>DASD</t>
        </is>
      </c>
      <c r="B28" s="2" t="inlineStr">
        <is>
          <t>Storage / DFSMS</t>
        </is>
      </c>
      <c r="C28" s="2" t="inlineStr">
        <is>
          <t>Direct Access Storage Device。z/OS のディスク（3390 互換）。VOLSER で識別。</t>
        </is>
      </c>
      <c r="D28" s="2" t="inlineStr">
        <is>
          <t>Volume, UCB, VOLSER</t>
        </is>
      </c>
      <c r="E28" s="2" t="inlineStr">
        <is>
          <t>cfg-device-vary</t>
        </is>
      </c>
      <c r="F28" s="2" t="inlineStr">
        <is>
          <t>S_ZOS_DFSMS</t>
        </is>
      </c>
    </row>
    <row r="29">
      <c r="A29" s="2" t="inlineStr">
        <is>
          <t>VOLSER</t>
        </is>
      </c>
      <c r="B29" s="2" t="inlineStr">
        <is>
          <t>Storage / DFSMS</t>
        </is>
      </c>
      <c r="C29" s="2" t="inlineStr">
        <is>
          <t>Volume Serial Number。DASD volume を一意識別する 6 文字。例: USR000, SYSRES。</t>
        </is>
      </c>
      <c r="D29" s="2" t="inlineStr">
        <is>
          <t>DASD, Volume</t>
        </is>
      </c>
      <c r="E29" s="2" t="inlineStr"/>
      <c r="F29" s="2" t="inlineStr">
        <is>
          <t>S_ZOS_DFSMS</t>
        </is>
      </c>
    </row>
    <row r="30">
      <c r="A30" s="2" t="inlineStr">
        <is>
          <t>Dataset</t>
        </is>
      </c>
      <c r="B30" s="2" t="inlineStr">
        <is>
          <t>Storage / DFSMS</t>
        </is>
      </c>
      <c r="C30" s="2" t="inlineStr">
        <is>
          <t>z/OS のファイル相当。DSORG（PS/PO/VS）、RECFM、LRECL、BLKSIZE 等の DCB 属性を持つ。</t>
        </is>
      </c>
      <c r="D30" s="2" t="inlineStr">
        <is>
          <t>DSORG, DCB, PDS, VSAM</t>
        </is>
      </c>
      <c r="E30" s="2" t="inlineStr">
        <is>
          <t>cfg-dataset-mgmt</t>
        </is>
      </c>
      <c r="F30" s="2" t="inlineStr">
        <is>
          <t>S_ZOS_DFSMS</t>
        </is>
      </c>
    </row>
    <row r="31">
      <c r="A31" s="2" t="inlineStr">
        <is>
          <t>Catalog</t>
        </is>
      </c>
      <c r="B31" s="2" t="inlineStr">
        <is>
          <t>Storage / DFSMS</t>
        </is>
      </c>
      <c r="C31" s="2" t="inlineStr">
        <is>
          <t>データセット名→VOLSER のマッピングを保持する VSAM。Master Catalog + 複数 User Catalog。</t>
        </is>
      </c>
      <c r="D31" s="2" t="inlineStr">
        <is>
          <t>Dataset, ICF Catalog</t>
        </is>
      </c>
      <c r="E31" s="2" t="inlineStr">
        <is>
          <t>cfg-dataset-mgmt</t>
        </is>
      </c>
      <c r="F31" s="2" t="inlineStr">
        <is>
          <t>S_ZOS_DFSMS</t>
        </is>
      </c>
    </row>
    <row r="32">
      <c r="A32" s="2" t="inlineStr">
        <is>
          <t>VSAM</t>
        </is>
      </c>
      <c r="B32" s="2" t="inlineStr">
        <is>
          <t>Storage / DFSMS</t>
        </is>
      </c>
      <c r="C32" s="2" t="inlineStr">
        <is>
          <t>Virtual Storage Access Method。インデックス付きデータセット形式（KSDS/ESDS/RRDS/LDS）。</t>
        </is>
      </c>
      <c r="D32" s="2" t="inlineStr">
        <is>
          <t>KSDS, ESDS, RRDS</t>
        </is>
      </c>
      <c r="E32" s="2" t="inlineStr">
        <is>
          <t>cfg-dataset-mgmt</t>
        </is>
      </c>
      <c r="F32" s="2" t="inlineStr">
        <is>
          <t>S_ZOS_DFSMS</t>
        </is>
      </c>
    </row>
    <row r="33">
      <c r="A33" s="2" t="inlineStr">
        <is>
          <t>DFSMS</t>
        </is>
      </c>
      <c r="B33" s="2" t="inlineStr">
        <is>
          <t>Storage / DFSMS</t>
        </is>
      </c>
      <c r="C33" s="2" t="inlineStr">
        <is>
          <t>Data Facility Storage Management Subsystem。SMS-managed データセット、HSM、DFDSS 等を含む統合ストレージ管理。</t>
        </is>
      </c>
      <c r="D33" s="2" t="inlineStr">
        <is>
          <t>SMS, HSM, ACS</t>
        </is>
      </c>
      <c r="E33" s="2" t="inlineStr">
        <is>
          <t>cfg-sms-class</t>
        </is>
      </c>
      <c r="F33" s="2" t="inlineStr">
        <is>
          <t>S_ZOS_DFSMS</t>
        </is>
      </c>
    </row>
    <row r="34">
      <c r="A34" s="2" t="inlineStr">
        <is>
          <t>SMS</t>
        </is>
      </c>
      <c r="B34" s="2" t="inlineStr">
        <is>
          <t>Storage / DFSMS</t>
        </is>
      </c>
      <c r="C34" s="2" t="inlineStr">
        <is>
          <t>Storage Management Subsystem。Storage Class / Data Class / Management Class / Storage Group で動的にデータセット配置を制御。</t>
        </is>
      </c>
      <c r="D34" s="2" t="inlineStr">
        <is>
          <t>DFSMS, ACS Routine</t>
        </is>
      </c>
      <c r="E34" s="2" t="inlineStr">
        <is>
          <t>cfg-sms-class</t>
        </is>
      </c>
      <c r="F34" s="2" t="inlineStr">
        <is>
          <t>S_ZOS_DFSMS</t>
        </is>
      </c>
    </row>
    <row r="35">
      <c r="A35" s="2" t="inlineStr">
        <is>
          <t>HSM</t>
        </is>
      </c>
      <c r="B35" s="2" t="inlineStr">
        <is>
          <t>Storage / DFSMS</t>
        </is>
      </c>
      <c r="C35" s="2" t="inlineStr">
        <is>
          <t>Hierarchical Storage Manager。データセットの自動マイグレ（DASD→Tape）・回復管理。Migration Level 1/2、Backup。</t>
        </is>
      </c>
      <c r="D35" s="2" t="inlineStr">
        <is>
          <t>DFSMS</t>
        </is>
      </c>
      <c r="E35" s="2" t="inlineStr"/>
      <c r="F35" s="2" t="inlineStr">
        <is>
          <t>S_ZOS_DFSMS</t>
        </is>
      </c>
    </row>
    <row r="36">
      <c r="A36" s="2" t="inlineStr">
        <is>
          <t>RACF</t>
        </is>
      </c>
      <c r="B36" s="2" t="inlineStr">
        <is>
          <t>セキュリティ</t>
        </is>
      </c>
      <c r="C36" s="2" t="inlineStr">
        <is>
          <t>Resource Access Control Facility。z/OS の標準セキュリティ製品。ユーザ認証、リソース保護、監査を統合。</t>
        </is>
      </c>
      <c r="D36" s="2" t="inlineStr">
        <is>
          <t>USERID, Profile, Permit</t>
        </is>
      </c>
      <c r="E36" s="2" t="inlineStr">
        <is>
          <t>cfg-racf-permit</t>
        </is>
      </c>
      <c r="F36" s="2" t="inlineStr">
        <is>
          <t>S_ZOS_RACF</t>
        </is>
      </c>
    </row>
    <row r="37">
      <c r="A37" s="2" t="inlineStr">
        <is>
          <t>RACF Profile</t>
        </is>
      </c>
      <c r="B37" s="2" t="inlineStr">
        <is>
          <t>セキュリティ</t>
        </is>
      </c>
      <c r="C37" s="2" t="inlineStr">
        <is>
          <t>RACF で保護するリソース定義。DATASET / GENERAL / USER / GROUP の 4 大プロファイルクラス。</t>
        </is>
      </c>
      <c r="D37" s="2" t="inlineStr">
        <is>
          <t>RACF, PERMIT, ACCESS</t>
        </is>
      </c>
      <c r="E37" s="2" t="inlineStr">
        <is>
          <t>cfg-racf-permit</t>
        </is>
      </c>
      <c r="F37" s="2" t="inlineStr">
        <is>
          <t>S_ZOS_RACF</t>
        </is>
      </c>
    </row>
    <row r="38">
      <c r="A38" s="2" t="inlineStr">
        <is>
          <t>PERMIT</t>
        </is>
      </c>
      <c r="B38" s="2" t="inlineStr">
        <is>
          <t>セキュリティ</t>
        </is>
      </c>
      <c r="C38" s="2" t="inlineStr">
        <is>
          <t>RACF の権限付与コマンド。ID（ユーザ・グループ）に対し ACCESS（READ/UPDATE/CONTROL/ALTER）を割り当てる。</t>
        </is>
      </c>
      <c r="D38" s="2" t="inlineStr">
        <is>
          <t>RACF, Profile, ACCESS</t>
        </is>
      </c>
      <c r="E38" s="2" t="inlineStr">
        <is>
          <t>cfg-racf-permit</t>
        </is>
      </c>
      <c r="F38" s="2" t="inlineStr">
        <is>
          <t>S_ZOS_RACF</t>
        </is>
      </c>
    </row>
    <row r="39">
      <c r="A39" s="2" t="inlineStr">
        <is>
          <t>ACCESS Level</t>
        </is>
      </c>
      <c r="B39" s="2" t="inlineStr">
        <is>
          <t>セキュリティ</t>
        </is>
      </c>
      <c r="C39" s="2" t="inlineStr">
        <is>
          <t>READ &lt; UPDATE &lt; CONTROL &lt; ALTER の階層的権限レベル。NONE は明示拒否。</t>
        </is>
      </c>
      <c r="D39" s="2" t="inlineStr">
        <is>
          <t>RACF, PERMIT</t>
        </is>
      </c>
      <c r="E39" s="2" t="inlineStr">
        <is>
          <t>cfg-racf-permit</t>
        </is>
      </c>
      <c r="F39" s="2" t="inlineStr">
        <is>
          <t>S_ZOS_RACF</t>
        </is>
      </c>
    </row>
    <row r="40">
      <c r="A40" s="2" t="inlineStr">
        <is>
          <t>OMVS Segment</t>
        </is>
      </c>
      <c r="B40" s="2" t="inlineStr">
        <is>
          <t>セキュリティ</t>
        </is>
      </c>
      <c r="C40" s="2" t="inlineStr">
        <is>
          <t>RACF USERID の OMVS セグメント。USS で使う UID/GID/HOME/PROGRAM を定義。</t>
        </is>
      </c>
      <c r="D40" s="2" t="inlineStr">
        <is>
          <t>RACF, USS, UID</t>
        </is>
      </c>
      <c r="E40" s="2" t="inlineStr">
        <is>
          <t>cfg-uss-setup</t>
        </is>
      </c>
      <c r="F40" s="2" t="inlineStr">
        <is>
          <t>S_ZOS_USS</t>
        </is>
      </c>
    </row>
    <row r="41">
      <c r="A41" s="2" t="inlineStr">
        <is>
          <t>Sysplex</t>
        </is>
      </c>
      <c r="B41" s="2" t="inlineStr">
        <is>
          <t>Sysplex / GRS</t>
        </is>
      </c>
      <c r="C41" s="2" t="inlineStr">
        <is>
          <t>Systems Complex。複数 z/OS システムを XCF/CF で連携させたクラスタ。Parallel Sysplex は CF（Coupling Facility）必須。</t>
        </is>
      </c>
      <c r="D41" s="2" t="inlineStr">
        <is>
          <t>XCF, CF, Parallel Sysplex</t>
        </is>
      </c>
      <c r="E41" s="2" t="inlineStr">
        <is>
          <t>cfg-sysplex-define</t>
        </is>
      </c>
      <c r="F41" s="2" t="inlineStr">
        <is>
          <t>S_ZOS_Sysplex</t>
        </is>
      </c>
    </row>
    <row r="42">
      <c r="A42" s="2" t="inlineStr">
        <is>
          <t>Parallel Sysplex</t>
        </is>
      </c>
      <c r="B42" s="2" t="inlineStr">
        <is>
          <t>Sysplex / GRS</t>
        </is>
      </c>
      <c r="C42" s="2" t="inlineStr">
        <is>
          <t>Coupling Facility を介した z/OS 複数システムのデータシェア環境。Db2 Data Sharing、IMS Data Sharing 等で使用。</t>
        </is>
      </c>
      <c r="D42" s="2" t="inlineStr">
        <is>
          <t>Sysplex, CF, XCF</t>
        </is>
      </c>
      <c r="E42" s="2" t="inlineStr">
        <is>
          <t>cfg-sysplex-define</t>
        </is>
      </c>
      <c r="F42" s="2" t="inlineStr">
        <is>
          <t>S_ZOS_Sysplex</t>
        </is>
      </c>
    </row>
    <row r="43">
      <c r="A43" s="2" t="inlineStr">
        <is>
          <t>XCF</t>
        </is>
      </c>
      <c r="B43" s="2" t="inlineStr">
        <is>
          <t>Sysplex / GRS</t>
        </is>
      </c>
      <c r="C43" s="2" t="inlineStr">
        <is>
          <t>Cross-System Coupling Facility。Sysplex メンバ間の通信機構。COUPLExx で設定。</t>
        </is>
      </c>
      <c r="D43" s="2" t="inlineStr">
        <is>
          <t>Sysplex, COUPLExx</t>
        </is>
      </c>
      <c r="E43" s="2" t="inlineStr">
        <is>
          <t>cfg-sysplex-define</t>
        </is>
      </c>
      <c r="F43" s="2" t="inlineStr">
        <is>
          <t>S_ZOS_Sysplex</t>
        </is>
      </c>
    </row>
    <row r="44">
      <c r="A44" s="2" t="inlineStr">
        <is>
          <t>CF</t>
        </is>
      </c>
      <c r="B44" s="2" t="inlineStr">
        <is>
          <t>Sysplex / GRS</t>
        </is>
      </c>
      <c r="C44" s="2" t="inlineStr">
        <is>
          <t>Coupling Facility。複数 z/OS 間で Lock/Cache/List を共有する専用 LPAR。Db2 Group Buffer Pool 等で利用。</t>
        </is>
      </c>
      <c r="D44" s="2" t="inlineStr">
        <is>
          <t>Sysplex, Parallel Sysplex, CFRM</t>
        </is>
      </c>
      <c r="E44" s="2" t="inlineStr">
        <is>
          <t>cfg-sysplex-define</t>
        </is>
      </c>
      <c r="F44" s="2" t="inlineStr">
        <is>
          <t>S_ZOS_Sysplex</t>
        </is>
      </c>
    </row>
    <row r="45">
      <c r="A45" s="2" t="inlineStr">
        <is>
          <t>GRS</t>
        </is>
      </c>
      <c r="B45" s="2" t="inlineStr">
        <is>
          <t>Sysplex / GRS</t>
        </is>
      </c>
      <c r="C45" s="2" t="inlineStr">
        <is>
          <t>Global Resource Serialization。データセット排他制御。GRS NONE / RING / STAR モード。Sysplex で STAR 必須。</t>
        </is>
      </c>
      <c r="D45" s="2" t="inlineStr">
        <is>
          <t>Sysplex, ENQ, GRSRNLxx</t>
        </is>
      </c>
      <c r="E45" s="2" t="inlineStr">
        <is>
          <t>cfg-grs-setup</t>
        </is>
      </c>
      <c r="F45" s="2" t="inlineStr">
        <is>
          <t>S_ZOS_Sysplex</t>
        </is>
      </c>
    </row>
    <row r="46">
      <c r="A46" s="2" t="inlineStr">
        <is>
          <t>WLM</t>
        </is>
      </c>
      <c r="B46" s="2" t="inlineStr">
        <is>
          <t>WLM / SMF</t>
        </is>
      </c>
      <c r="C46" s="2" t="inlineStr">
        <is>
          <t>Workload Manager。サービスクラス（response time goal / velocity）でアドレス空間に CPU・I/O 優先度を動的割り当て。</t>
        </is>
      </c>
      <c r="D46" s="2" t="inlineStr">
        <is>
          <t>Service Class, Goal, IEAOPT</t>
        </is>
      </c>
      <c r="E46" s="2" t="inlineStr">
        <is>
          <t>cfg-wlm-policy</t>
        </is>
      </c>
      <c r="F46" s="2" t="inlineStr">
        <is>
          <t>S_ZOS_WLM</t>
        </is>
      </c>
    </row>
    <row r="47">
      <c r="A47" s="2" t="inlineStr">
        <is>
          <t>Service Class</t>
        </is>
      </c>
      <c r="B47" s="2" t="inlineStr">
        <is>
          <t>WLM / SMF</t>
        </is>
      </c>
      <c r="C47" s="2" t="inlineStr">
        <is>
          <t>WLM のワークロード分類単位。Velocity / Response Time / Discretionary の goal タイプ。</t>
        </is>
      </c>
      <c r="D47" s="2" t="inlineStr">
        <is>
          <t>WLM, Period</t>
        </is>
      </c>
      <c r="E47" s="2" t="inlineStr">
        <is>
          <t>cfg-wlm-policy</t>
        </is>
      </c>
      <c r="F47" s="2" t="inlineStr">
        <is>
          <t>S_ZOS_WLM</t>
        </is>
      </c>
    </row>
    <row r="48">
      <c r="A48" s="2" t="inlineStr">
        <is>
          <t>SMF</t>
        </is>
      </c>
      <c r="B48" s="2" t="inlineStr">
        <is>
          <t>WLM / SMF</t>
        </is>
      </c>
      <c r="C48" s="2" t="inlineStr">
        <is>
          <t>System Management Facilities。z/OS の運用統計記録機構。Type X 番号で記録種別管理。SMFPRMxx で構成。</t>
        </is>
      </c>
      <c r="D48" s="2" t="inlineStr">
        <is>
          <t>SMFPRMxx, RMF</t>
        </is>
      </c>
      <c r="E48" s="2" t="inlineStr">
        <is>
          <t>cfg-smf-collect</t>
        </is>
      </c>
      <c r="F48" s="2" t="inlineStr">
        <is>
          <t>S_ZOS_SMF</t>
        </is>
      </c>
    </row>
    <row r="49">
      <c r="A49" s="2" t="inlineStr">
        <is>
          <t>SMF Type 30</t>
        </is>
      </c>
      <c r="B49" s="2" t="inlineStr">
        <is>
          <t>WLM / SMF</t>
        </is>
      </c>
      <c r="C49" s="2" t="inlineStr">
        <is>
          <t>ジョブ・STC・TSO セッション情報。CPU 時間、I/O カウント、終了 RC を記録。最も使用される SMF type。</t>
        </is>
      </c>
      <c r="D49" s="2" t="inlineStr">
        <is>
          <t>SMF</t>
        </is>
      </c>
      <c r="E49" s="2" t="inlineStr">
        <is>
          <t>cfg-smf-collect</t>
        </is>
      </c>
      <c r="F49" s="2" t="inlineStr">
        <is>
          <t>S_ZOS_SMF</t>
        </is>
      </c>
    </row>
    <row r="50">
      <c r="A50" s="2" t="inlineStr">
        <is>
          <t>RMF</t>
        </is>
      </c>
      <c r="B50" s="2" t="inlineStr">
        <is>
          <t>WLM / SMF</t>
        </is>
      </c>
      <c r="C50" s="2" t="inlineStr">
        <is>
          <t>Resource Measurement Facility。リアルタイム性能監視（Monitor I/II/III）と Postprocessor レポート。</t>
        </is>
      </c>
      <c r="D50" s="2" t="inlineStr">
        <is>
          <t>SMF, WLM</t>
        </is>
      </c>
      <c r="E50" s="2" t="inlineStr"/>
      <c r="F50" s="2" t="inlineStr">
        <is>
          <t>S_ZOS_RMF</t>
        </is>
      </c>
    </row>
    <row r="51">
      <c r="A51" s="2" t="inlineStr">
        <is>
          <t>USS</t>
        </is>
      </c>
      <c r="B51" s="2" t="inlineStr">
        <is>
          <t>USS</t>
        </is>
      </c>
      <c r="C51" s="2" t="inlineStr">
        <is>
          <t>UNIX System Services。z/OS 内の POSIX 互換 UNIX 環境。HFS/zFS ファイルシステム、シェル、コマンド群を提供。</t>
        </is>
      </c>
      <c r="D51" s="2" t="inlineStr">
        <is>
          <t>OMVS, HFS, zFS, BPXPRMxx</t>
        </is>
      </c>
      <c r="E51" s="2" t="inlineStr">
        <is>
          <t>cfg-uss-setup</t>
        </is>
      </c>
      <c r="F51" s="2" t="inlineStr">
        <is>
          <t>S_ZOS_USS</t>
        </is>
      </c>
    </row>
    <row r="52">
      <c r="A52" s="2" t="inlineStr">
        <is>
          <t>OMVS</t>
        </is>
      </c>
      <c r="B52" s="2" t="inlineStr">
        <is>
          <t>USS</t>
        </is>
      </c>
      <c r="C52" s="2" t="inlineStr">
        <is>
          <t>USS の対話シェル名・サブシステム名。TSO&gt; OMVS で USS シェルに移行。</t>
        </is>
      </c>
      <c r="D52" s="2" t="inlineStr">
        <is>
          <t>USS</t>
        </is>
      </c>
      <c r="E52" s="2" t="inlineStr">
        <is>
          <t>cfg-uss-setup</t>
        </is>
      </c>
      <c r="F52" s="2" t="inlineStr">
        <is>
          <t>S_ZOS_USS</t>
        </is>
      </c>
    </row>
    <row r="53">
      <c r="A53" s="2" t="inlineStr">
        <is>
          <t>HFS</t>
        </is>
      </c>
      <c r="B53" s="2" t="inlineStr">
        <is>
          <t>USS</t>
        </is>
      </c>
      <c r="C53" s="2" t="inlineStr">
        <is>
          <t>Hierarchical File System。USS の旧 FS 形式。新規は zFS 推奨だが互換のため残存。</t>
        </is>
      </c>
      <c r="D53" s="2" t="inlineStr">
        <is>
          <t>USS, zFS</t>
        </is>
      </c>
      <c r="E53" s="2" t="inlineStr">
        <is>
          <t>cfg-uss-fs</t>
        </is>
      </c>
      <c r="F53" s="2" t="inlineStr">
        <is>
          <t>S_ZOS_USS</t>
        </is>
      </c>
    </row>
    <row r="54">
      <c r="A54" s="2" t="inlineStr">
        <is>
          <t>zFS</t>
        </is>
      </c>
      <c r="B54" s="2" t="inlineStr">
        <is>
          <t>USS</t>
        </is>
      </c>
      <c r="C54" s="2" t="inlineStr">
        <is>
          <t>z/OS File System。USS の標準 FS。VSAM Linear DS をベースに zFS aggregate を構成。HFS の後継。</t>
        </is>
      </c>
      <c r="D54" s="2" t="inlineStr">
        <is>
          <t>USS, HFS, BPXPRMxx</t>
        </is>
      </c>
      <c r="E54" s="2" t="inlineStr">
        <is>
          <t>cfg-uss-fs</t>
        </is>
      </c>
      <c r="F54" s="2" t="inlineStr">
        <is>
          <t>S_ZOS_USS</t>
        </is>
      </c>
    </row>
    <row r="55">
      <c r="A55" s="2" t="inlineStr">
        <is>
          <t>BPXBATCH</t>
        </is>
      </c>
      <c r="B55" s="2" t="inlineStr">
        <is>
          <t>USS</t>
        </is>
      </c>
      <c r="C55" s="2" t="inlineStr">
        <is>
          <t>USS シェルスクリプトを JES2 バッチジョブとして実行する MVS プログラム。</t>
        </is>
      </c>
      <c r="D55" s="2" t="inlineStr">
        <is>
          <t>USS, JCL</t>
        </is>
      </c>
      <c r="E55" s="2" t="inlineStr">
        <is>
          <t>cfg-uss-batch</t>
        </is>
      </c>
      <c r="F55" s="2" t="inlineStr">
        <is>
          <t>S_ZOS_USS</t>
        </is>
      </c>
    </row>
    <row r="56">
      <c r="A56" s="2" t="inlineStr">
        <is>
          <t>TCP/IP（z/OS）</t>
        </is>
      </c>
      <c r="B56" s="2" t="inlineStr">
        <is>
          <t>ネットワーク</t>
        </is>
      </c>
      <c r="C56" s="2" t="inlineStr">
        <is>
          <t>Communications Server TCP/IP。z/OS のネットワークスタック。TCPIP STC、PROFILE.TCPIP で構成。</t>
        </is>
      </c>
      <c r="D56" s="2" t="inlineStr">
        <is>
          <t>VTAM, OSA, FTP</t>
        </is>
      </c>
      <c r="E56" s="2" t="inlineStr">
        <is>
          <t>cfg-tcpip-profile</t>
        </is>
      </c>
      <c r="F56" s="2" t="inlineStr">
        <is>
          <t>S_ZOS_CommServer</t>
        </is>
      </c>
    </row>
    <row r="57">
      <c r="A57" s="2" t="inlineStr">
        <is>
          <t>VTAM</t>
        </is>
      </c>
      <c r="B57" s="2" t="inlineStr">
        <is>
          <t>ネットワーク</t>
        </is>
      </c>
      <c r="C57" s="2" t="inlineStr">
        <is>
          <t>Virtual Telecommunications Access Method。SNA プロトコルスタック。TN3270/CICS/IMS 等で使用。</t>
        </is>
      </c>
      <c r="D57" s="2" t="inlineStr">
        <is>
          <t>TCP/IP, SNA</t>
        </is>
      </c>
      <c r="E57" s="2" t="inlineStr">
        <is>
          <t>cfg-vtam-startup</t>
        </is>
      </c>
      <c r="F57" s="2" t="inlineStr">
        <is>
          <t>S_ZOS_CommServer</t>
        </is>
      </c>
    </row>
    <row r="58">
      <c r="A58" s="2" t="inlineStr">
        <is>
          <t>FTP（z/OS）</t>
        </is>
      </c>
      <c r="B58" s="2" t="inlineStr">
        <is>
          <t>ネットワーク</t>
        </is>
      </c>
      <c r="C58" s="2" t="inlineStr">
        <is>
          <t>z/OS 同梱の FTP サーバ／クライアント。MVS データセット⇄ファイル変換に対応。</t>
        </is>
      </c>
      <c r="D58" s="2" t="inlineStr">
        <is>
          <t>TCP/IP</t>
        </is>
      </c>
      <c r="E58" s="2" t="inlineStr"/>
      <c r="F58" s="2" t="inlineStr">
        <is>
          <t>S_ZOS_CommServer</t>
        </is>
      </c>
    </row>
    <row r="59">
      <c r="A59" s="2" t="inlineStr">
        <is>
          <t>OSA</t>
        </is>
      </c>
      <c r="B59" s="2" t="inlineStr">
        <is>
          <t>ネットワーク</t>
        </is>
      </c>
      <c r="C59" s="2" t="inlineStr">
        <is>
          <t>Open Systems Adapter。z/OS 用ネットワークアダプタ。OSA-Express。</t>
        </is>
      </c>
      <c r="D59" s="2" t="inlineStr">
        <is>
          <t>TCP/IP, VTAM</t>
        </is>
      </c>
      <c r="E59" s="2" t="inlineStr"/>
      <c r="F59" s="2" t="inlineStr">
        <is>
          <t>S_ZOS_HCD</t>
        </is>
      </c>
    </row>
    <row r="60">
      <c r="A60" s="2" t="inlineStr">
        <is>
          <t>ISPF</t>
        </is>
      </c>
      <c r="B60" s="2" t="inlineStr">
        <is>
          <t>管理ツール</t>
        </is>
      </c>
      <c r="C60" s="2" t="inlineStr">
        <is>
          <t>Interactive System Productivity Facility。z/OS で最も使われる対話ツール。3270 ベース、メニュー駆動、PDS 編集が中心。</t>
        </is>
      </c>
      <c r="D60" s="2" t="inlineStr">
        <is>
          <t>TSO/E, PDF</t>
        </is>
      </c>
      <c r="E60" s="2" t="inlineStr">
        <is>
          <t>cfg-tso-logon</t>
        </is>
      </c>
      <c r="F60" s="2" t="inlineStr">
        <is>
          <t>S_ZOS_TSO</t>
        </is>
      </c>
    </row>
    <row r="61">
      <c r="A61" s="2" t="inlineStr">
        <is>
          <t>SDSF</t>
        </is>
      </c>
      <c r="B61" s="2" t="inlineStr">
        <is>
          <t>管理ツール</t>
        </is>
      </c>
      <c r="C61" s="2" t="inlineStr">
        <is>
          <t>System Display and Search Facility。JES2 ジョブ、ログ、コンソール表示の対話ツール。DA/ST/LOG/JOB/OUT が主要パネル。</t>
        </is>
      </c>
      <c r="D61" s="2" t="inlineStr">
        <is>
          <t>JES2, ISPF</t>
        </is>
      </c>
      <c r="E61" s="2" t="inlineStr"/>
      <c r="F61" s="2" t="inlineStr">
        <is>
          <t>S_ZOS_SDSF</t>
        </is>
      </c>
    </row>
    <row r="62">
      <c r="A62" s="2" t="inlineStr">
        <is>
          <t>REXX</t>
        </is>
      </c>
      <c r="B62" s="2" t="inlineStr">
        <is>
          <t>管理ツール</t>
        </is>
      </c>
      <c r="C62" s="2" t="inlineStr">
        <is>
          <t>Restructured Extended Executor。z/OS の標準スクリプト言語。TSO REXX / USS REXX / NetView REXX 等。</t>
        </is>
      </c>
      <c r="D62" s="2" t="inlineStr">
        <is>
          <t>TSO/E, CLIST</t>
        </is>
      </c>
      <c r="E62" s="2" t="inlineStr">
        <is>
          <t>cfg-rexx-script</t>
        </is>
      </c>
      <c r="F62" s="2" t="inlineStr">
        <is>
          <t>S_ZOS_TSO</t>
        </is>
      </c>
    </row>
    <row r="63">
      <c r="A63" s="2" t="inlineStr">
        <is>
          <t>CLIST</t>
        </is>
      </c>
      <c r="B63" s="2" t="inlineStr">
        <is>
          <t>管理ツール</t>
        </is>
      </c>
      <c r="C63" s="2" t="inlineStr">
        <is>
          <t>Command List。TSO の旧スクリプト言語。REXX 推奨。</t>
        </is>
      </c>
      <c r="D63" s="2" t="inlineStr">
        <is>
          <t>REXX, TSO/E</t>
        </is>
      </c>
      <c r="E63" s="2" t="inlineStr"/>
      <c r="F63" s="2" t="inlineStr">
        <is>
          <t>S_ZOS_TSO</t>
        </is>
      </c>
    </row>
    <row r="64">
      <c r="A64" s="2" t="inlineStr">
        <is>
          <t>SMP/E</t>
        </is>
      </c>
      <c r="B64" s="2" t="inlineStr">
        <is>
          <t>管理ツール</t>
        </is>
      </c>
      <c r="C64" s="2" t="inlineStr">
        <is>
          <t>System Modification Program / Extended。z/OS のソフトウェアパッケージ管理。FUNCTION/PTF/APAR/USERMOD の SYSMOD 適用。</t>
        </is>
      </c>
      <c r="D64" s="2" t="inlineStr">
        <is>
          <t>PTF, SYSMOD, APAR</t>
        </is>
      </c>
      <c r="E64" s="2" t="inlineStr">
        <is>
          <t>cfg-smpe-apply</t>
        </is>
      </c>
      <c r="F64" s="2" t="inlineStr">
        <is>
          <t>S_ZOS_SMPE</t>
        </is>
      </c>
    </row>
    <row r="65">
      <c r="A65" s="2" t="inlineStr">
        <is>
          <t>PTF</t>
        </is>
      </c>
      <c r="B65" s="2" t="inlineStr">
        <is>
          <t>管理ツール</t>
        </is>
      </c>
      <c r="C65" s="2" t="inlineStr">
        <is>
          <t>Program Temporary Fix。IBM 提供の修正パッケージ。SMP/E APPLY で適用。</t>
        </is>
      </c>
      <c r="D65" s="2" t="inlineStr">
        <is>
          <t>SMP/E, SYSMOD, HOLDDATA</t>
        </is>
      </c>
      <c r="E65" s="2" t="inlineStr">
        <is>
          <t>cfg-smpe-apply</t>
        </is>
      </c>
      <c r="F65" s="2" t="inlineStr">
        <is>
          <t>S_ZOS_SMPE</t>
        </is>
      </c>
    </row>
    <row r="66">
      <c r="A66" s="2" t="inlineStr">
        <is>
          <t>SYSMOD</t>
        </is>
      </c>
      <c r="B66" s="2" t="inlineStr">
        <is>
          <t>管理ツール</t>
        </is>
      </c>
      <c r="C66" s="2" t="inlineStr">
        <is>
          <t>System Modification。SMP/E が管理する変更単位。FUNCTION/PTF/APAR/USERMOD の総称。</t>
        </is>
      </c>
      <c r="D66" s="2" t="inlineStr">
        <is>
          <t>PTF, APAR, SMP/E</t>
        </is>
      </c>
      <c r="E66" s="2" t="inlineStr">
        <is>
          <t>cfg-smpe-apply</t>
        </is>
      </c>
      <c r="F66" s="2" t="inlineStr">
        <is>
          <t>S_ZOS_SMPE</t>
        </is>
      </c>
    </row>
    <row r="67">
      <c r="A67" s="2" t="inlineStr">
        <is>
          <t>APAR</t>
        </is>
      </c>
      <c r="B67" s="2" t="inlineStr">
        <is>
          <t>管理ツール</t>
        </is>
      </c>
      <c r="C67" s="2" t="inlineStr">
        <is>
          <t>Authorized Program Analysis Report。IBM が認識した不具合報告。修正は PTF として提供される。</t>
        </is>
      </c>
      <c r="D67" s="2" t="inlineStr">
        <is>
          <t>PTF, SMP/E</t>
        </is>
      </c>
      <c r="E67" s="2" t="inlineStr"/>
      <c r="F67" s="2" t="inlineStr">
        <is>
          <t>S_ZOS_SMPE</t>
        </is>
      </c>
    </row>
    <row r="68">
      <c r="A68" s="2" t="inlineStr">
        <is>
          <t>HCD</t>
        </is>
      </c>
      <c r="B68" s="2" t="inlineStr">
        <is>
          <t>管理ツール</t>
        </is>
      </c>
      <c r="C68" s="2" t="inlineStr">
        <is>
          <t>Hardware Configuration Definition。z/OS の I/O 構成定義ツール。IODF を作成。</t>
        </is>
      </c>
      <c r="D68" s="2" t="inlineStr">
        <is>
          <t>IODF, IOCDS</t>
        </is>
      </c>
      <c r="E68" s="2" t="inlineStr">
        <is>
          <t>cfg-hcd-iodf</t>
        </is>
      </c>
      <c r="F68" s="2" t="inlineStr">
        <is>
          <t>S_ZOS_HCD</t>
        </is>
      </c>
    </row>
    <row r="69">
      <c r="A69" s="2" t="inlineStr">
        <is>
          <t>IODF</t>
        </is>
      </c>
      <c r="B69" s="2" t="inlineStr">
        <is>
          <t>管理ツール</t>
        </is>
      </c>
      <c r="C69" s="2" t="inlineStr">
        <is>
          <t>I/O Definition File。HCD で生成、IPL 時に読み込まれる I/O 構成データ。</t>
        </is>
      </c>
      <c r="D69" s="2" t="inlineStr">
        <is>
          <t>HCD, IOCDS</t>
        </is>
      </c>
      <c r="E69" s="2" t="inlineStr">
        <is>
          <t>cfg-hcd-iodf</t>
        </is>
      </c>
      <c r="F69" s="2" t="inlineStr">
        <is>
          <t>S_ZOS_HCD</t>
        </is>
      </c>
    </row>
    <row r="70">
      <c r="A70" s="2" t="inlineStr">
        <is>
          <t>WTOR</t>
        </is>
      </c>
      <c r="B70" s="2" t="inlineStr">
        <is>
          <t>コンソール</t>
        </is>
      </c>
      <c r="C70" s="2" t="inlineStr">
        <is>
          <t>Write to Operator with Reply。応答待ちオペレータメッセージ。R &lt;id&gt;,&lt;reply&gt; で応答するまで処理が進まない。</t>
        </is>
      </c>
      <c r="D70" s="2" t="inlineStr">
        <is>
          <t>Console, MCS</t>
        </is>
      </c>
      <c r="E70" s="2" t="inlineStr">
        <is>
          <t>inc-wtor-response</t>
        </is>
      </c>
      <c r="F70" s="2" t="inlineStr">
        <is>
          <t>S_ZOS_MVS_Cmds</t>
        </is>
      </c>
    </row>
    <row r="71">
      <c r="A71" s="2" t="inlineStr">
        <is>
          <t>Console</t>
        </is>
      </c>
      <c r="B71" s="2" t="inlineStr">
        <is>
          <t>コンソール</t>
        </is>
      </c>
      <c r="C71" s="2" t="inlineStr">
        <is>
          <t>z/OS のシステムコンソール。MCS（Multiple Console Support）/ EMCS / SMCS の 3 種。</t>
        </is>
      </c>
      <c r="D71" s="2" t="inlineStr">
        <is>
          <t>MCS, EMCS, CONSOLxx</t>
        </is>
      </c>
      <c r="E71" s="2" t="inlineStr">
        <is>
          <t>cfg-console-add</t>
        </is>
      </c>
      <c r="F71" s="2" t="inlineStr">
        <is>
          <t>S_ZOS_MVS_Init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習熟度＼シーン</t>
        </is>
      </c>
      <c r="B1" s="1" t="inlineStr">
        <is>
          <t>構築</t>
        </is>
      </c>
      <c r="C1" s="1" t="inlineStr">
        <is>
          <t>日常運用</t>
        </is>
      </c>
      <c r="D1" s="1" t="inlineStr">
        <is>
          <t>バックアップ</t>
        </is>
      </c>
      <c r="E1" s="1" t="inlineStr">
        <is>
          <t>障害対応</t>
        </is>
      </c>
      <c r="F1" s="1" t="inlineStr">
        <is>
          <t>性能</t>
        </is>
      </c>
      <c r="G1" s="1" t="inlineStr">
        <is>
          <t>マイグレ</t>
        </is>
      </c>
      <c r="H1" s="1" t="inlineStr">
        <is>
          <t>セキュリティ</t>
        </is>
      </c>
      <c r="I1" s="1" t="inlineStr">
        <is>
          <t>スケーリング</t>
        </is>
      </c>
    </row>
    <row r="2">
      <c r="A2" s="2" t="inlineStr">
        <is>
          <t>入門</t>
        </is>
      </c>
      <c r="B2" s="2" t="inlineStr">
        <is>
          <t>新規 IPL → 基本確認（D IPLINFO, D A,L）
→ cfg-parmlib-update</t>
        </is>
      </c>
      <c r="C2" s="2" t="inlineStr">
        <is>
          <t>D A,L / SDSF DA で稼働確認
→ cfg-stc-startup</t>
        </is>
      </c>
      <c r="D2" s="2" t="inlineStr">
        <is>
          <t>Stand-Alone Restore + DFDSS</t>
        </is>
      </c>
      <c r="E2" s="2" t="inlineStr">
        <is>
          <t>ABEND / WTOR / JES2 SHORT
→ inc-job-abend, inc-wtor-response, inc-jes2-spool-full</t>
        </is>
      </c>
      <c r="F2" s="2" t="inlineStr">
        <is>
          <t>RMF / SDSF / D ASM
→ inc-paging-shortage</t>
        </is>
      </c>
      <c r="G2" s="2" t="inlineStr">
        <is>
          <t>（推奨せず — 中級以降）</t>
        </is>
      </c>
      <c r="H2" s="2" t="inlineStr">
        <is>
          <t>RACF LU/LG/LD コマンド
→ cfg-racf-permit</t>
        </is>
      </c>
      <c r="I2" s="2" t="inlineStr">
        <is>
          <t>（推奨せず — 中級以降）</t>
        </is>
      </c>
    </row>
    <row r="3">
      <c r="A3" s="2" t="inlineStr">
        <is>
          <t>中級</t>
        </is>
      </c>
      <c r="B3" s="2" t="inlineStr">
        <is>
          <t>PARMLIB 設計、Sysplex 計画、JES2 INITDECK
→ cfg-parmlib-update, cfg-jes2-init, cfg-sysplex-define</t>
        </is>
      </c>
      <c r="C3" s="2" t="inlineStr">
        <is>
          <t>SMF 自動 SWITCH、JES2 SPOOL 監視、log 解析
→ cfg-smf-collect, inc-jes2-spool-full</t>
        </is>
      </c>
      <c r="D3" s="2" t="inlineStr">
        <is>
          <t>DFDSS Full Volume、HSM 自動マイグ</t>
        </is>
      </c>
      <c r="E3" s="2" t="inlineStr">
        <is>
          <t>IPCS で SVC dump、IDCAMS で VSAM 修復
→ inc-system-hung, inc-vsam-open-fail</t>
        </is>
      </c>
      <c r="F3" s="2" t="inlineStr">
        <is>
          <t>RMF Postprocessor、WLM Goal 調整
→ cfg-wlm-policy</t>
        </is>
      </c>
      <c r="G3" s="2" t="inlineStr">
        <is>
          <t>z/OS バージョンアップ、SMP/E APPLY
→ inc-smpe-apply-fail</t>
        </is>
      </c>
      <c r="H3" s="2" t="inlineStr">
        <is>
          <t>PROFILE 設計、auditing 設定
→ cfg-racf-permit</t>
        </is>
      </c>
      <c r="I3" s="2" t="inlineStr">
        <is>
          <t>USS FS 拡張、ページデータセット追加
→ cfg-uss-fs, inc-paging-shortage</t>
        </is>
      </c>
    </row>
    <row r="4">
      <c r="A4" s="2" t="inlineStr">
        <is>
          <t>上級</t>
        </is>
      </c>
      <c r="B4" s="2" t="inlineStr">
        <is>
          <t>Parallel Sysplex、CFRM Policy、GDPS 連携
→ cfg-sysplex-define, cfg-grs-setup</t>
        </is>
      </c>
      <c r="C4" s="2" t="inlineStr">
        <is>
          <t>GDPS、自動 takeover、災害復旧演習</t>
        </is>
      </c>
      <c r="D4" s="2" t="inlineStr">
        <is>
          <t>DR 演習、Stand-Alone Restore、GDPS Hyperswap</t>
        </is>
      </c>
      <c r="E4" s="2" t="inlineStr">
        <is>
          <t>Sysplex 分断、CF Failover、GDPS 自動切替
→ inc-sysplex-split</t>
        </is>
      </c>
      <c r="F4" s="2" t="inlineStr">
        <is>
          <t>WLM Importance/Period 設計、RMF Monitor III
→ cfg-wlm-policy</t>
        </is>
      </c>
      <c r="G4" s="2" t="inlineStr">
        <is>
          <t>z/OS 新版へのローリングアップグレード（Sysplex 内）</t>
        </is>
      </c>
      <c r="H4" s="2" t="inlineStr">
        <is>
          <t>Multilevel Security、Crypto、PKI、ICSF</t>
        </is>
      </c>
      <c r="I4" s="2" t="inlineStr">
        <is>
          <t>LPAR 動的追加、CF dynamic config、Db2 Data Sharing 拡張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5" customWidth="1" min="2" max="2"/>
    <col width="35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症状</t>
        </is>
      </c>
      <c r="C1" s="1" t="inlineStr">
        <is>
          <t>原因</t>
        </is>
      </c>
      <c r="D1" s="1" t="inlineStr">
        <is>
          <t>対処</t>
        </is>
      </c>
      <c r="E1" s="1" t="inlineStr">
        <is>
          <t>ラベル</t>
        </is>
      </c>
      <c r="F1" s="1" t="inlineStr">
        <is>
          <t>関連手順</t>
        </is>
      </c>
    </row>
    <row r="2">
      <c r="A2" s="2" t="inlineStr">
        <is>
          <t>ts-01</t>
        </is>
      </c>
      <c r="B2" s="2" t="inlineStr">
        <is>
          <t>システムが IPL しない（LOAD パラメータ後 hang）</t>
        </is>
      </c>
      <c r="C2" s="2" t="inlineStr">
        <is>
          <t>LOADxx 不正、IODF 不一致、PARMLIB チェーン破綻</t>
        </is>
      </c>
      <c r="D2" s="2" t="inlineStr">
        <is>
          <t>LOAD パラメータで別 LOADxx 指定、または別 IODF で IPL。詳細: inc-ipl-fail</t>
        </is>
      </c>
      <c r="E2" s="2" t="inlineStr">
        <is>
          <t>—（IPL コンソール上のメッセージ）</t>
        </is>
      </c>
      <c r="F2" s="2" t="inlineStr">
        <is>
          <t>inc-ipl-fail</t>
        </is>
      </c>
    </row>
    <row r="3">
      <c r="A3" s="2" t="inlineStr">
        <is>
          <t>ts-02</t>
        </is>
      </c>
      <c r="B3" s="2" t="inlineStr">
        <is>
          <t>WTOR 大量で応答待ち、システム進まない</t>
        </is>
      </c>
      <c r="C3" s="2" t="inlineStr">
        <is>
          <t>サブシステム起動失敗、I/O エラー等で複数 WTOR 蓄積</t>
        </is>
      </c>
      <c r="D3" s="2" t="inlineStr">
        <is>
          <t>D R,L で全 WTOR 表示。各 WTOR の意味確認後 R &lt;id&gt;,&lt;reply&gt;</t>
        </is>
      </c>
      <c r="E3" s="2" t="inlineStr">
        <is>
          <t>（各種 WTOR）</t>
        </is>
      </c>
      <c r="F3" s="2" t="inlineStr">
        <is>
          <t>inc-wtor-response</t>
        </is>
      </c>
    </row>
    <row r="4">
      <c r="A4" s="2" t="inlineStr">
        <is>
          <t>ts-03</t>
        </is>
      </c>
      <c r="B4" s="2" t="inlineStr">
        <is>
          <t>JES2 SPOOL 使用率 95% 超で SHORT</t>
        </is>
      </c>
      <c r="C4" s="2" t="inlineStr">
        <is>
          <t>完了済ジョブ未パージ、出力未印刷、ジョブ大量</t>
        </is>
      </c>
      <c r="D4" s="2" t="inlineStr">
        <is>
          <t>$D Q で確認、$P J&lt;n&gt; で不要ジョブ削除、SDSF ST/H で OUTPUT/HARDCOPY 整理</t>
        </is>
      </c>
      <c r="E4" s="2" t="inlineStr">
        <is>
          <t>$HASP050 SHORT ON SPOOL SPACE</t>
        </is>
      </c>
      <c r="F4" s="2" t="inlineStr">
        <is>
          <t>inc-jes2-spool-full</t>
        </is>
      </c>
    </row>
    <row r="5">
      <c r="A5" s="2" t="inlineStr">
        <is>
          <t>ts-04</t>
        </is>
      </c>
      <c r="B5" s="2" t="inlineStr">
        <is>
          <t>ジョブが ABEND（S0C4 / S0C7 / S322 / B37 等）</t>
        </is>
      </c>
      <c r="C5" s="2" t="inlineStr">
        <is>
          <t>プログラムエラー、データセット領域不足、CPU 時間超過</t>
        </is>
      </c>
      <c r="D5" s="2" t="inlineStr">
        <is>
          <t>SDSF ST → S でジョブ詳細、SYSOUT で ABEND コード詳細確認、IPCS で SVC dump 解析</t>
        </is>
      </c>
      <c r="E5" s="2" t="inlineStr">
        <is>
          <t>S0C4 / S0C7 / S322 / B37 等</t>
        </is>
      </c>
      <c r="F5" s="2" t="inlineStr">
        <is>
          <t>inc-job-abend</t>
        </is>
      </c>
    </row>
    <row r="6">
      <c r="A6" s="2" t="inlineStr">
        <is>
          <t>ts-05</t>
        </is>
      </c>
      <c r="B6" s="2" t="inlineStr">
        <is>
          <t>ページング枯渇（PLPA, COMMON, LOCAL）</t>
        </is>
      </c>
      <c r="C6" s="2" t="inlineStr">
        <is>
          <t>ワークロード過大、ページデータセット容量不足</t>
        </is>
      </c>
      <c r="D6" s="2" t="inlineStr">
        <is>
          <t>D ASM で確認、PAGEADD で動的追加、または不要 STC 停止</t>
        </is>
      </c>
      <c r="E6" s="2" t="inlineStr">
        <is>
          <t>ILR005E AUXILIARY STORAGE SHORTAGE</t>
        </is>
      </c>
      <c r="F6" s="2" t="inlineStr">
        <is>
          <t>inc-paging-shortage</t>
        </is>
      </c>
    </row>
    <row r="7">
      <c r="A7" s="2" t="inlineStr">
        <is>
          <t>ts-06</t>
        </is>
      </c>
      <c r="B7" s="2" t="inlineStr">
        <is>
          <t>RACF アクセス拒否（ICH408I）</t>
        </is>
      </c>
      <c r="C7" s="2" t="inlineStr">
        <is>
          <t>ユーザに必要 ACCESS 権限なし、PROFILE が discrete でカバー外</t>
        </is>
      </c>
      <c r="D7" s="2" t="inlineStr">
        <is>
          <t>RLIST で profile 確認、PERMIT で権限付与、refresh （必要なら）</t>
        </is>
      </c>
      <c r="E7" s="2" t="inlineStr">
        <is>
          <t>ICH408I</t>
        </is>
      </c>
      <c r="F7" s="2" t="inlineStr">
        <is>
          <t>inc-racf-access-denied</t>
        </is>
      </c>
    </row>
    <row r="8">
      <c r="A8" s="2" t="inlineStr">
        <is>
          <t>ts-07</t>
        </is>
      </c>
      <c r="B8" s="2" t="inlineStr">
        <is>
          <t>SMF レコードが取得されない</t>
        </is>
      </c>
      <c r="C8" s="2" t="inlineStr">
        <is>
          <t>SMFPRMxx の TYPE 指定漏れ、SMF データセット FULL</t>
        </is>
      </c>
      <c r="D8" s="2" t="inlineStr">
        <is>
          <t>D SMF で現状確認、SETSMF で動的変更、DUMP で空ける</t>
        </is>
      </c>
      <c r="E8" s="2" t="inlineStr">
        <is>
          <t>IFA040E</t>
        </is>
      </c>
      <c r="F8" s="2" t="inlineStr">
        <is>
          <t>inc-smf-collect-fail</t>
        </is>
      </c>
    </row>
    <row r="9">
      <c r="A9" s="2" t="inlineStr">
        <is>
          <t>ts-08</t>
        </is>
      </c>
      <c r="B9" s="2" t="inlineStr">
        <is>
          <t>Sysplex 分断（XCF 通信断）</t>
        </is>
      </c>
      <c r="C9" s="2" t="inlineStr">
        <is>
          <t>CDS 障害、CF 障害、ネットワーク断</t>
        </is>
      </c>
      <c r="D9" s="2" t="inlineStr">
        <is>
          <t>D XCF,COUPLE で状態確認、SETXCF で対処</t>
        </is>
      </c>
      <c r="E9" s="2" t="inlineStr">
        <is>
          <t>IXC101I, IXC102I 等</t>
        </is>
      </c>
      <c r="F9" s="2" t="inlineStr">
        <is>
          <t>inc-sysplex-split</t>
        </is>
      </c>
    </row>
    <row r="10">
      <c r="A10" s="2" t="inlineStr">
        <is>
          <t>ts-09</t>
        </is>
      </c>
      <c r="B10" s="2" t="inlineStr">
        <is>
          <t>TCP/IP 通信不能</t>
        </is>
      </c>
      <c r="C10" s="2" t="inlineStr">
        <is>
          <t>TCPIP STC 停止、PROFILE.TCPIP 設定不正、OSA リンク断</t>
        </is>
      </c>
      <c r="D10" s="2" t="inlineStr">
        <is>
          <t>D TCPIP, NETSTAT HOME, NETSTAT DEV で診断</t>
        </is>
      </c>
      <c r="E10" s="2" t="inlineStr">
        <is>
          <t>EZA*, EZD*</t>
        </is>
      </c>
      <c r="F10" s="2" t="inlineStr">
        <is>
          <t>inc-tcpip-down</t>
        </is>
      </c>
    </row>
    <row r="11">
      <c r="A11" s="2" t="inlineStr">
        <is>
          <t>ts-10</t>
        </is>
      </c>
      <c r="B11" s="2" t="inlineStr">
        <is>
          <t>USS マウント FS が満杯</t>
        </is>
      </c>
      <c r="C11" s="2" t="inlineStr">
        <is>
          <t>zFS aggregate 容量不足</t>
        </is>
      </c>
      <c r="D11" s="2" t="inlineStr">
        <is>
          <t>df -k で確認、zfsadm grow で拡張、または不要ファイル削除</t>
        </is>
      </c>
      <c r="E11" s="2" t="inlineStr">
        <is>
          <t>—</t>
        </is>
      </c>
      <c r="F11" s="2" t="inlineStr">
        <is>
          <t>inc-uss-fs-full</t>
        </is>
      </c>
    </row>
    <row r="12">
      <c r="A12" s="2" t="inlineStr">
        <is>
          <t>ts-11</t>
        </is>
      </c>
      <c r="B12" s="2" t="inlineStr">
        <is>
          <t>ジョブが INIT 状態で進まない</t>
        </is>
      </c>
      <c r="C12" s="2" t="inlineStr">
        <is>
          <t>JES2 イニシエータ不足、対象 CLASS の Initiator 全て busy</t>
        </is>
      </c>
      <c r="D12" s="2" t="inlineStr">
        <is>
          <t>$DI でイニシエータ状態確認、$S I,CLASS=x で追加起動</t>
        </is>
      </c>
      <c r="E12" s="2" t="inlineStr">
        <is>
          <t>—</t>
        </is>
      </c>
      <c r="F12" s="2" t="inlineStr">
        <is>
          <t>inc-jes2-spool-full</t>
        </is>
      </c>
    </row>
    <row r="13">
      <c r="A13" s="2" t="inlineStr">
        <is>
          <t>ts-12</t>
        </is>
      </c>
      <c r="B13" s="2" t="inlineStr">
        <is>
          <t>STC（Started Task）が hung</t>
        </is>
      </c>
      <c r="C13" s="2" t="inlineStr">
        <is>
          <t>STC 内部デッドロック、I/O 待ち</t>
        </is>
      </c>
      <c r="D13" s="2" t="inlineStr">
        <is>
          <t>DA → S で詳細、DUMP で SVC dump 取得、P/C で停止</t>
        </is>
      </c>
      <c r="E13" s="2" t="inlineStr">
        <is>
          <t>—</t>
        </is>
      </c>
      <c r="F13" s="2" t="inlineStr">
        <is>
          <t>inc-stc-hung</t>
        </is>
      </c>
    </row>
    <row r="14">
      <c r="A14" s="2" t="inlineStr">
        <is>
          <t>ts-13</t>
        </is>
      </c>
      <c r="B14" s="2" t="inlineStr">
        <is>
          <t>OPERLOG / SYSLOG 取得不全</t>
        </is>
      </c>
      <c r="C14" s="2" t="inlineStr">
        <is>
          <t>LOGREC FULL、Logger 設定不正</t>
        </is>
      </c>
      <c r="D14" s="2" t="inlineStr">
        <is>
          <t>D OPERLOG で状態確認、IFASMFDP / IXGCONN で対処</t>
        </is>
      </c>
      <c r="E14" s="2" t="inlineStr">
        <is>
          <t>IXG231I, IFB050I</t>
        </is>
      </c>
      <c r="F14" s="2" t="inlineStr">
        <is>
          <t>inc-syslog-investigation</t>
        </is>
      </c>
    </row>
    <row r="15">
      <c r="A15" s="2" t="inlineStr">
        <is>
          <t>ts-14</t>
        </is>
      </c>
      <c r="B15" s="2" t="inlineStr">
        <is>
          <t>VSAM open エラー（IDC3009I）</t>
        </is>
      </c>
      <c r="C15" s="2" t="inlineStr">
        <is>
          <t>Catalog 不整合、share option 違反、容量不足</t>
        </is>
      </c>
      <c r="D15" s="2" t="inlineStr">
        <is>
          <t>LISTCAT で構造確認、IDCAMS REPRO で回復、share オプション再設定</t>
        </is>
      </c>
      <c r="E15" s="2" t="inlineStr">
        <is>
          <t>IDC3009I</t>
        </is>
      </c>
      <c r="F15" s="2" t="inlineStr">
        <is>
          <t>inc-vsam-open-fail</t>
        </is>
      </c>
    </row>
    <row r="16">
      <c r="A16" s="2" t="inlineStr">
        <is>
          <t>ts-15</t>
        </is>
      </c>
      <c r="B16" s="2" t="inlineStr">
        <is>
          <t>PARMLIB 変更後 IPL 失敗</t>
        </is>
      </c>
      <c r="C16" s="2" t="inlineStr">
        <is>
          <t>syntax エラー、必須パラメータ漏れ、PARMLIB チェーン破綻</t>
        </is>
      </c>
      <c r="D16" s="2" t="inlineStr">
        <is>
          <t>別 LOADxx 指定で IPL、SYS1.PARMLIB を直前バックアップから復元</t>
        </is>
      </c>
      <c r="E16" s="2" t="inlineStr">
        <is>
          <t>—（NIP メッセージ）</t>
        </is>
      </c>
      <c r="F16" s="2" t="inlineStr">
        <is>
          <t>inc-ipl-fail</t>
        </is>
      </c>
    </row>
    <row r="17">
      <c r="A17" s="2" t="inlineStr">
        <is>
          <t>ts-16</t>
        </is>
      </c>
      <c r="B17" s="2" t="inlineStr">
        <is>
          <t>コンソール応答なし（hung）</t>
        </is>
      </c>
      <c r="C17" s="2" t="inlineStr">
        <is>
          <t>MASTER コンソール障害、CONSOLE STC hung</t>
        </is>
      </c>
      <c r="D17" s="2" t="inlineStr">
        <is>
          <t>代替コンソールから VARY CN コマンド、必要なら EMCS 経由</t>
        </is>
      </c>
      <c r="E17" s="2" t="inlineStr">
        <is>
          <t>IEA404A</t>
        </is>
      </c>
      <c r="F17" s="2" t="inlineStr">
        <is>
          <t>inc-console-hung</t>
        </is>
      </c>
    </row>
    <row r="18">
      <c r="A18" s="2" t="inlineStr">
        <is>
          <t>ts-17</t>
        </is>
      </c>
      <c r="B18" s="2" t="inlineStr">
        <is>
          <t>SMP/E APPLY 失敗</t>
        </is>
      </c>
      <c r="C18" s="2" t="inlineStr">
        <is>
          <t>依存 PTF 不足、HOLDDATA 警告、target zone 容量不足</t>
        </is>
      </c>
      <c r="D18" s="2" t="inlineStr">
        <is>
          <t>++HOLD 確認、prerequisite PTF を APPLY GROUPEXTEND</t>
        </is>
      </c>
      <c r="E18" s="2" t="inlineStr">
        <is>
          <t>GIM*</t>
        </is>
      </c>
      <c r="F18" s="2" t="inlineStr">
        <is>
          <t>inc-smpe-apply-fail</t>
        </is>
      </c>
    </row>
    <row r="19">
      <c r="A19" s="2" t="inlineStr">
        <is>
          <t>ts-18</t>
        </is>
      </c>
      <c r="B19" s="2" t="inlineStr">
        <is>
          <t>TCPIP HOME IP 重複</t>
        </is>
      </c>
      <c r="C19" s="2" t="inlineStr">
        <is>
          <t>PROFILE.TCPIP の HOME ステートメント重複定義</t>
        </is>
      </c>
      <c r="D19" s="2" t="inlineStr">
        <is>
          <t>VARY TCPIP,,OBEYFILE で修正版適用、または TCPIP STC 再起動</t>
        </is>
      </c>
      <c r="E19" s="2" t="inlineStr">
        <is>
          <t>EZZ4327I</t>
        </is>
      </c>
      <c r="F19" s="2" t="inlineStr">
        <is>
          <t>cfg-tcpip-profile</t>
        </is>
      </c>
    </row>
    <row r="20">
      <c r="A20" s="2" t="inlineStr">
        <is>
          <t>ts-19</t>
        </is>
      </c>
      <c r="B20" s="2" t="inlineStr">
        <is>
          <t>GRS Latch contention（D GRS,LATCH,C）</t>
        </is>
      </c>
      <c r="C20" s="2" t="inlineStr">
        <is>
          <t>ENQ holder の長時間保持、デッドロック</t>
        </is>
      </c>
      <c r="D20" s="2" t="inlineStr">
        <is>
          <t>D GRS,LATCH,C で contender 表示、原因 STC を P/C</t>
        </is>
      </c>
      <c r="E20" s="2" t="inlineStr">
        <is>
          <t>ISG343I</t>
        </is>
      </c>
      <c r="F20" s="2" t="inlineStr">
        <is>
          <t>inc-stc-hung</t>
        </is>
      </c>
    </row>
    <row r="21">
      <c r="A21" s="2" t="inlineStr">
        <is>
          <t>ts-20</t>
        </is>
      </c>
      <c r="B21" s="2" t="inlineStr">
        <is>
          <t>WLM Service Class が discretionary に転落</t>
        </is>
      </c>
      <c r="C21" s="2" t="inlineStr">
        <is>
          <t>Goal 達成不能、CPU リソース不足</t>
        </is>
      </c>
      <c r="D21" s="2" t="inlineStr">
        <is>
          <t>WLM ISPF で Service Class 定義見直し、Importance 調整</t>
        </is>
      </c>
      <c r="E21" s="2" t="inlineStr">
        <is>
          <t>—</t>
        </is>
      </c>
      <c r="F21" s="2" t="inlineStr">
        <is>
          <t>cfg-wlm-policy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40" customWidth="1" min="2" max="2"/>
    <col width="60" customWidth="1" min="3" max="3"/>
    <col width="40" customWidth="1" min="4" max="4"/>
    <col width="22" customWidth="1" min="5" max="5"/>
  </cols>
  <sheetData>
    <row r="1">
      <c r="A1" s="1" t="inlineStr">
        <is>
          <t>テーマ</t>
        </is>
      </c>
      <c r="B1" s="1" t="inlineStr">
        <is>
          <t>公式マニュアル</t>
        </is>
      </c>
      <c r="C1" s="1" t="inlineStr">
        <is>
          <t>URL</t>
        </is>
      </c>
      <c r="D1" s="1" t="inlineStr">
        <is>
          <t>参照章</t>
        </is>
      </c>
      <c r="E1" s="1" t="inlineStr">
        <is>
          <t>出典</t>
        </is>
      </c>
    </row>
    <row r="2">
      <c r="A2" s="2" t="inlineStr">
        <is>
          <t>概要・新機能</t>
        </is>
      </c>
      <c r="B2" s="2" t="inlineStr">
        <is>
          <t>z/OS 3.1 What's New</t>
        </is>
      </c>
      <c r="C2" s="2" t="inlineStr">
        <is>
          <t>https://www.ibm.com/docs/en/zos/3.1.0?topic=overview-whats-new</t>
        </is>
      </c>
      <c r="D2" s="2" t="inlineStr">
        <is>
          <t>新機能・変更点</t>
        </is>
      </c>
      <c r="E2" s="2" t="inlineStr">
        <is>
          <t>S_ZOS_WhatsNew</t>
        </is>
      </c>
    </row>
    <row r="3">
      <c r="A3" s="2" t="inlineStr">
        <is>
          <t>システム初期化（IPL）</t>
        </is>
      </c>
      <c r="B3" s="2" t="inlineStr">
        <is>
          <t>MVS Initialization and Tuning Reference</t>
        </is>
      </c>
      <c r="C3" s="2" t="inlineStr">
        <is>
          <t>https://www.ibm.com/docs/en/zos/3.1.0?topic=mvs-initialization-tuning-reference</t>
        </is>
      </c>
      <c r="D3" s="2" t="inlineStr">
        <is>
          <t>IPL / NIP / PARMLIB members 全部</t>
        </is>
      </c>
      <c r="E3" s="2" t="inlineStr">
        <is>
          <t>S_ZOS_Init_Tuning</t>
        </is>
      </c>
    </row>
    <row r="4">
      <c r="A4" s="2" t="inlineStr">
        <is>
          <t>PARMLIB メンバ詳細</t>
        </is>
      </c>
      <c r="B4" s="2" t="inlineStr">
        <is>
          <t>MVS Initialization and Tuning Reference</t>
        </is>
      </c>
      <c r="C4" s="2" t="inlineStr">
        <is>
          <t>https://www.ibm.com/docs/en/zos/3.1.0?topic=reference-parameters-parmlib-members</t>
        </is>
      </c>
      <c r="D4" s="2" t="inlineStr">
        <is>
          <t>IEASYSxx, IEFSSNxx, BPXPRMxx, SMFPRMxx 等</t>
        </is>
      </c>
      <c r="E4" s="2" t="inlineStr">
        <is>
          <t>S_ZOS_Init_Tuning</t>
        </is>
      </c>
    </row>
    <row r="5">
      <c r="A5" s="2" t="inlineStr">
        <is>
          <t>オペレータコマンド</t>
        </is>
      </c>
      <c r="B5" s="2" t="inlineStr">
        <is>
          <t>MVS System Commands</t>
        </is>
      </c>
      <c r="C5" s="2" t="inlineStr">
        <is>
          <t>https://www.ibm.com/docs/en/zos/3.1.0?topic=mvs-system-commands</t>
        </is>
      </c>
      <c r="D5" s="2" t="inlineStr">
        <is>
          <t>DISPLAY, VARY, START, STOP, MODIFY 等の全コマンド</t>
        </is>
      </c>
      <c r="E5" s="2" t="inlineStr">
        <is>
          <t>S_ZOS_MVS_Cmds</t>
        </is>
      </c>
    </row>
    <row r="6">
      <c r="A6" s="2" t="inlineStr">
        <is>
          <t>JES2 詳細</t>
        </is>
      </c>
      <c r="B6" s="2" t="inlineStr">
        <is>
          <t>JES2 Initialization and Tuning Reference</t>
        </is>
      </c>
      <c r="C6" s="2" t="inlineStr">
        <is>
          <t>https://www.ibm.com/docs/en/zos/3.1.0?topic=jes2-initialization-tuning-reference</t>
        </is>
      </c>
      <c r="D6" s="2" t="inlineStr">
        <is>
          <t>INITDECK 全パラメータ・$ コマンド</t>
        </is>
      </c>
      <c r="E6" s="2" t="inlineStr">
        <is>
          <t>S_ZOS_JES2</t>
        </is>
      </c>
    </row>
    <row r="7">
      <c r="A7" s="2" t="inlineStr">
        <is>
          <t>JCL リファレンス</t>
        </is>
      </c>
      <c r="B7" s="2" t="inlineStr">
        <is>
          <t>MVS JCL Reference</t>
        </is>
      </c>
      <c r="C7" s="2" t="inlineStr">
        <is>
          <t>https://www.ibm.com/docs/en/zos/3.1.0?topic=mvs-jcl-reference</t>
        </is>
      </c>
      <c r="D7" s="2" t="inlineStr">
        <is>
          <t>JOB / EXEC / DD / OUTPUT 等の全構文</t>
        </is>
      </c>
      <c r="E7" s="2" t="inlineStr">
        <is>
          <t>S_ZOS_JCL_Ref</t>
        </is>
      </c>
    </row>
    <row r="8">
      <c r="A8" s="2" t="inlineStr">
        <is>
          <t>TSO/E コマンド</t>
        </is>
      </c>
      <c r="B8" s="2" t="inlineStr">
        <is>
          <t>TSO/E Command Reference</t>
        </is>
      </c>
      <c r="C8" s="2" t="inlineStr">
        <is>
          <t>https://www.ibm.com/docs/en/zos/3.1.0?topic=tsoe-command-reference</t>
        </is>
      </c>
      <c r="D8" s="2" t="inlineStr">
        <is>
          <t>ALLOCATE, LISTC, LISTDS, SUBMIT 等</t>
        </is>
      </c>
      <c r="E8" s="2" t="inlineStr">
        <is>
          <t>S_ZOS_TSO_Cmds</t>
        </is>
      </c>
    </row>
    <row r="9">
      <c r="A9" s="2" t="inlineStr">
        <is>
          <t>REXX プログラミング</t>
        </is>
      </c>
      <c r="B9" s="2" t="inlineStr">
        <is>
          <t>TSO/E REXX Reference</t>
        </is>
      </c>
      <c r="C9" s="2" t="inlineStr">
        <is>
          <t>https://www.ibm.com/docs/en/zos/3.1.0?topic=tsoe-rexx-reference</t>
        </is>
      </c>
      <c r="D9" s="2" t="inlineStr">
        <is>
          <t>REXX 言語仕様 + TSO/E 関数</t>
        </is>
      </c>
      <c r="E9" s="2" t="inlineStr">
        <is>
          <t>S_ZOS_TSO_REXX</t>
        </is>
      </c>
    </row>
    <row r="10">
      <c r="A10" s="2" t="inlineStr">
        <is>
          <t>SDSF オペレーション</t>
        </is>
      </c>
      <c r="B10" s="2" t="inlineStr">
        <is>
          <t>SDSF Operation and Customization</t>
        </is>
      </c>
      <c r="C10" s="2" t="inlineStr">
        <is>
          <t>https://www.ibm.com/docs/en/zos/3.1.0?topic=sdsf-operation-customization</t>
        </is>
      </c>
      <c r="D10" s="2" t="inlineStr">
        <is>
          <t>DA/ST/LOG/JOB/OUT 全パネル</t>
        </is>
      </c>
      <c r="E10" s="2" t="inlineStr">
        <is>
          <t>S_ZOS_SDSF</t>
        </is>
      </c>
    </row>
    <row r="11">
      <c r="A11" s="2" t="inlineStr">
        <is>
          <t>DFSMS（データセット管理）</t>
        </is>
      </c>
      <c r="B11" s="2" t="inlineStr">
        <is>
          <t>DFSMS Using Data Sets</t>
        </is>
      </c>
      <c r="C11" s="2" t="inlineStr">
        <is>
          <t>https://www.ibm.com/docs/en/zos/3.1.0?topic=dfsms-using-data-sets</t>
        </is>
      </c>
      <c r="D11" s="2" t="inlineStr">
        <is>
          <t>PS / PO / VSAM / SMS-managed</t>
        </is>
      </c>
      <c r="E11" s="2" t="inlineStr">
        <is>
          <t>S_ZOS_DFSMS</t>
        </is>
      </c>
    </row>
    <row r="12">
      <c r="A12" s="2" t="inlineStr">
        <is>
          <t>SMS / ACS routine</t>
        </is>
      </c>
      <c r="B12" s="2" t="inlineStr">
        <is>
          <t>DFSMSdfp Storage Administration</t>
        </is>
      </c>
      <c r="C12" s="2" t="inlineStr">
        <is>
          <t>https://www.ibm.com/docs/en/zos/3.1.0?topic=dfsmsdfp-storage-administration</t>
        </is>
      </c>
      <c r="D12" s="2" t="inlineStr">
        <is>
          <t>Storage Class / Data Class / ACS routine</t>
        </is>
      </c>
      <c r="E12" s="2" t="inlineStr">
        <is>
          <t>S_ZOS_DFSMS</t>
        </is>
      </c>
    </row>
    <row r="13">
      <c r="A13" s="2" t="inlineStr">
        <is>
          <t>RACF セキュリティ</t>
        </is>
      </c>
      <c r="B13" s="2" t="inlineStr">
        <is>
          <t>Security Server RACF Security Administrator's Guide</t>
        </is>
      </c>
      <c r="C13" s="2" t="inlineStr">
        <is>
          <t>https://www.ibm.com/docs/en/zos/3.1.0?topic=racf-security-administrators-guide</t>
        </is>
      </c>
      <c r="D13" s="2" t="inlineStr">
        <is>
          <t>USERID / PROFILE / PERMIT / SETROPTS</t>
        </is>
      </c>
      <c r="E13" s="2" t="inlineStr">
        <is>
          <t>S_ZOS_RACF</t>
        </is>
      </c>
    </row>
    <row r="14">
      <c r="A14" s="2" t="inlineStr">
        <is>
          <t>USS（UNIX System Services）</t>
        </is>
      </c>
      <c r="B14" s="2" t="inlineStr">
        <is>
          <t>UNIX System Services Planning</t>
        </is>
      </c>
      <c r="C14" s="2" t="inlineStr">
        <is>
          <t>https://www.ibm.com/docs/en/zos/3.1.0?topic=unix-system-services-planning</t>
        </is>
      </c>
      <c r="D14" s="2" t="inlineStr">
        <is>
          <t>BPXPRMxx / OMVS / HFS / zFS / OMVS Segment</t>
        </is>
      </c>
      <c r="E14" s="2" t="inlineStr">
        <is>
          <t>S_ZOS_USS</t>
        </is>
      </c>
    </row>
    <row r="15">
      <c r="A15" s="2" t="inlineStr">
        <is>
          <t>USS シェルコマンド</t>
        </is>
      </c>
      <c r="B15" s="2" t="inlineStr">
        <is>
          <t>UNIX System Services Command Reference</t>
        </is>
      </c>
      <c r="C15" s="2" t="inlineStr">
        <is>
          <t>https://www.ibm.com/docs/en/zos/3.1.0?topic=unix-system-services-command-reference</t>
        </is>
      </c>
      <c r="D15" s="2" t="inlineStr">
        <is>
          <t>POSIX 互換シェル + z/OS 拡張</t>
        </is>
      </c>
      <c r="E15" s="2" t="inlineStr">
        <is>
          <t>S_ZOS_USS</t>
        </is>
      </c>
    </row>
    <row r="16">
      <c r="A16" s="2" t="inlineStr">
        <is>
          <t>Communications Server TCP/IP</t>
        </is>
      </c>
      <c r="B16" s="2" t="inlineStr">
        <is>
          <t>Communications Server IP Configuration Reference</t>
        </is>
      </c>
      <c r="C16" s="2" t="inlineStr">
        <is>
          <t>https://www.ibm.com/docs/en/zos/3.1.0?topic=cs-ip-configuration-reference</t>
        </is>
      </c>
      <c r="D16" s="2" t="inlineStr">
        <is>
          <t>PROFILE.TCPIP / TCPIP STC / FTP</t>
        </is>
      </c>
      <c r="E16" s="2" t="inlineStr">
        <is>
          <t>S_ZOS_CommServer</t>
        </is>
      </c>
    </row>
    <row r="17">
      <c r="A17" s="2" t="inlineStr">
        <is>
          <t>VTAM / SNA</t>
        </is>
      </c>
      <c r="B17" s="2" t="inlineStr">
        <is>
          <t>Communications Server SNA Resource Definition Reference</t>
        </is>
      </c>
      <c r="C17" s="2" t="inlineStr">
        <is>
          <t>https://www.ibm.com/docs/en/zos/3.1.0?topic=cs-sna-resource-definition-reference</t>
        </is>
      </c>
      <c r="D17" s="2" t="inlineStr">
        <is>
          <t>VTAM ATCSTRxx / ATCCONxx / APPL / Mode Table</t>
        </is>
      </c>
      <c r="E17" s="2" t="inlineStr">
        <is>
          <t>S_ZOS_CommServer</t>
        </is>
      </c>
    </row>
    <row r="18">
      <c r="A18" s="2" t="inlineStr">
        <is>
          <t>Sysplex / Coupling Facility</t>
        </is>
      </c>
      <c r="B18" s="2" t="inlineStr">
        <is>
          <t>MVS Setting Up a Sysplex</t>
        </is>
      </c>
      <c r="C18" s="2" t="inlineStr">
        <is>
          <t>https://www.ibm.com/docs/en/zos/3.1.0?topic=mvs-setting-up-sysplex</t>
        </is>
      </c>
      <c r="D18" s="2" t="inlineStr">
        <is>
          <t>COUPLExx / CFRM / SFM / Couple Data Sets</t>
        </is>
      </c>
      <c r="E18" s="2" t="inlineStr">
        <is>
          <t>S_ZOS_Sysplex</t>
        </is>
      </c>
    </row>
    <row r="19">
      <c r="A19" s="2" t="inlineStr">
        <is>
          <t>GRS（排他制御）</t>
        </is>
      </c>
      <c r="B19" s="2" t="inlineStr">
        <is>
          <t>MVS Planning: Global Resource Serialization</t>
        </is>
      </c>
      <c r="C19" s="2" t="inlineStr">
        <is>
          <t>https://www.ibm.com/docs/en/zos/3.1.0?topic=mvs-planning-global-resource-serialization</t>
        </is>
      </c>
      <c r="D19" s="2" t="inlineStr">
        <is>
          <t>GRS NONE/RING/STAR、GRSRNLxx</t>
        </is>
      </c>
      <c r="E19" s="2" t="inlineStr">
        <is>
          <t>S_ZOS_Sysplex</t>
        </is>
      </c>
    </row>
    <row r="20">
      <c r="A20" s="2" t="inlineStr">
        <is>
          <t>SMF / 統計記録</t>
        </is>
      </c>
      <c r="B20" s="2" t="inlineStr">
        <is>
          <t>MVS System Management Facilities (SMF)</t>
        </is>
      </c>
      <c r="C20" s="2" t="inlineStr">
        <is>
          <t>https://www.ibm.com/docs/en/zos/3.1.0?topic=mvs-system-management-facilities-smf</t>
        </is>
      </c>
      <c r="D20" s="2" t="inlineStr">
        <is>
          <t>SMFPRMxx / Type 30, 70-79, 80, 89, 99 詳細</t>
        </is>
      </c>
      <c r="E20" s="2" t="inlineStr">
        <is>
          <t>S_ZOS_SMF</t>
        </is>
      </c>
    </row>
    <row r="21">
      <c r="A21" s="2" t="inlineStr">
        <is>
          <t>WLM（性能管理）</t>
        </is>
      </c>
      <c r="B21" s="2" t="inlineStr">
        <is>
          <t>MVS Planning: Workload Management</t>
        </is>
      </c>
      <c r="C21" s="2" t="inlineStr">
        <is>
          <t>https://www.ibm.com/docs/en/zos/3.1.0?topic=mvs-planning-workload-management</t>
        </is>
      </c>
      <c r="D21" s="2" t="inlineStr">
        <is>
          <t>Service Class / Goal / Period / Resource Group</t>
        </is>
      </c>
      <c r="E21" s="2" t="inlineStr">
        <is>
          <t>S_ZOS_WLM</t>
        </is>
      </c>
    </row>
    <row r="22">
      <c r="A22" s="2" t="inlineStr">
        <is>
          <t>SMP/E</t>
        </is>
      </c>
      <c r="B22" s="2" t="inlineStr">
        <is>
          <t>SMP/E Reference</t>
        </is>
      </c>
      <c r="C22" s="2" t="inlineStr">
        <is>
          <t>https://www.ibm.com/docs/en/zos/3.1.0?topic=smpe-reference</t>
        </is>
      </c>
      <c r="D22" s="2" t="inlineStr">
        <is>
          <t>APPLY / ACCEPT / RESTORE / LIST 全コマンド</t>
        </is>
      </c>
      <c r="E22" s="2" t="inlineStr">
        <is>
          <t>S_ZOS_SMPE</t>
        </is>
      </c>
    </row>
    <row r="23">
      <c r="A23" s="2" t="inlineStr">
        <is>
          <t>問題判別（Problem Diagnosis）</t>
        </is>
      </c>
      <c r="B23" s="2" t="inlineStr">
        <is>
          <t>MVS Diagnosis: Reference</t>
        </is>
      </c>
      <c r="C23" s="2" t="inlineStr">
        <is>
          <t>https://www.ibm.com/docs/en/zos/3.1.0?topic=mvs-diagnosis-reference</t>
        </is>
      </c>
      <c r="D23" s="2" t="inlineStr">
        <is>
          <t>ABEND コード / SVC dump / IPCS</t>
        </is>
      </c>
      <c r="E23" s="2" t="inlineStr">
        <is>
          <t>S_ZOS_Diag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60" customWidth="1" min="2" max="2"/>
    <col width="1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正式名称</t>
        </is>
      </c>
      <c r="C1" s="1" t="inlineStr">
        <is>
          <t>Form番号</t>
        </is>
      </c>
      <c r="D1" s="1" t="inlineStr">
        <is>
          <t>言語</t>
        </is>
      </c>
      <c r="E1" s="1" t="inlineStr">
        <is>
          <t>形式</t>
        </is>
      </c>
      <c r="F1" s="1" t="inlineStr">
        <is>
          <t>URL</t>
        </is>
      </c>
    </row>
    <row r="2">
      <c r="A2" s="2" t="inlineStr">
        <is>
          <t>S_ZOS_WhatsNew</t>
        </is>
      </c>
      <c r="B2" s="2" t="inlineStr">
        <is>
          <t>z/OS 3.1 What's New</t>
        </is>
      </c>
      <c r="C2" s="2" t="inlineStr">
        <is>
          <t>GA32-0888</t>
        </is>
      </c>
      <c r="D2" s="2" t="inlineStr">
        <is>
          <t>en</t>
        </is>
      </c>
      <c r="E2" s="2" t="inlineStr">
        <is>
          <t>Web</t>
        </is>
      </c>
      <c r="F2" s="2" t="inlineStr">
        <is>
          <t>https://www.ibm.com/docs/en/zos/3.1.0?topic=overview-whats-new</t>
        </is>
      </c>
    </row>
    <row r="3">
      <c r="A3" s="2" t="inlineStr">
        <is>
          <t>S_ZOS_Intro</t>
        </is>
      </c>
      <c r="B3" s="2" t="inlineStr">
        <is>
          <t>z/OS Introduction and Release Guide</t>
        </is>
      </c>
      <c r="C3" s="2" t="inlineStr">
        <is>
          <t>GA32-0884</t>
        </is>
      </c>
      <c r="D3" s="2" t="inlineStr">
        <is>
          <t>en</t>
        </is>
      </c>
      <c r="E3" s="2" t="inlineStr">
        <is>
          <t>Web</t>
        </is>
      </c>
      <c r="F3" s="2" t="inlineStr">
        <is>
          <t>https://www.ibm.com/docs/en/zos/3.1.0?topic=z-os-introduction-release-guide</t>
        </is>
      </c>
    </row>
    <row r="4">
      <c r="A4" s="2" t="inlineStr">
        <is>
          <t>S_ZOS_Init_Tuning</t>
        </is>
      </c>
      <c r="B4" s="2" t="inlineStr">
        <is>
          <t>MVS Initialization and Tuning Reference</t>
        </is>
      </c>
      <c r="C4" s="2" t="inlineStr">
        <is>
          <t>SA23-1380</t>
        </is>
      </c>
      <c r="D4" s="2" t="inlineStr">
        <is>
          <t>en</t>
        </is>
      </c>
      <c r="E4" s="2" t="inlineStr">
        <is>
          <t>Web</t>
        </is>
      </c>
      <c r="F4" s="2" t="inlineStr">
        <is>
          <t>https://www.ibm.com/docs/en/zos/3.1.0?topic=mvs-initialization-tuning-reference</t>
        </is>
      </c>
    </row>
    <row r="5">
      <c r="A5" s="2" t="inlineStr">
        <is>
          <t>S_ZOS_MVS_Init</t>
        </is>
      </c>
      <c r="B5" s="2" t="inlineStr">
        <is>
          <t>MVS Initialization and Tuning Guide</t>
        </is>
      </c>
      <c r="C5" s="2" t="inlineStr">
        <is>
          <t>SA23-1379</t>
        </is>
      </c>
      <c r="D5" s="2" t="inlineStr">
        <is>
          <t>en</t>
        </is>
      </c>
      <c r="E5" s="2" t="inlineStr">
        <is>
          <t>Web</t>
        </is>
      </c>
      <c r="F5" s="2" t="inlineStr">
        <is>
          <t>https://www.ibm.com/docs/en/zos/3.1.0?topic=mvs-initialization-tuning-guide</t>
        </is>
      </c>
    </row>
    <row r="6">
      <c r="A6" s="2" t="inlineStr">
        <is>
          <t>S_ZOS_MVS_Cmds</t>
        </is>
      </c>
      <c r="B6" s="2" t="inlineStr">
        <is>
          <t>MVS System Commands</t>
        </is>
      </c>
      <c r="C6" s="2" t="inlineStr">
        <is>
          <t>SA38-0666</t>
        </is>
      </c>
      <c r="D6" s="2" t="inlineStr">
        <is>
          <t>en</t>
        </is>
      </c>
      <c r="E6" s="2" t="inlineStr">
        <is>
          <t>Web</t>
        </is>
      </c>
      <c r="F6" s="2" t="inlineStr">
        <is>
          <t>https://www.ibm.com/docs/en/zos/3.1.0?topic=mvs-system-commands</t>
        </is>
      </c>
    </row>
    <row r="7">
      <c r="A7" s="2" t="inlineStr">
        <is>
          <t>S_ZOS_JES2</t>
        </is>
      </c>
      <c r="B7" s="2" t="inlineStr">
        <is>
          <t>JES2 Initialization and Tuning Reference</t>
        </is>
      </c>
      <c r="C7" s="2" t="inlineStr">
        <is>
          <t>SA32-0992</t>
        </is>
      </c>
      <c r="D7" s="2" t="inlineStr">
        <is>
          <t>en</t>
        </is>
      </c>
      <c r="E7" s="2" t="inlineStr">
        <is>
          <t>Web</t>
        </is>
      </c>
      <c r="F7" s="2" t="inlineStr">
        <is>
          <t>https://www.ibm.com/docs/en/zos/3.1.0?topic=jes2-initialization-tuning-reference</t>
        </is>
      </c>
    </row>
    <row r="8">
      <c r="A8" s="2" t="inlineStr">
        <is>
          <t>S_ZOS_JES2_Cmds</t>
        </is>
      </c>
      <c r="B8" s="2" t="inlineStr">
        <is>
          <t>JES2 Commands</t>
        </is>
      </c>
      <c r="C8" s="2" t="inlineStr">
        <is>
          <t>SA32-0990</t>
        </is>
      </c>
      <c r="D8" s="2" t="inlineStr">
        <is>
          <t>en</t>
        </is>
      </c>
      <c r="E8" s="2" t="inlineStr">
        <is>
          <t>Web</t>
        </is>
      </c>
      <c r="F8" s="2" t="inlineStr">
        <is>
          <t>https://www.ibm.com/docs/en/zos/3.1.0?topic=jes2-commands</t>
        </is>
      </c>
    </row>
    <row r="9">
      <c r="A9" s="2" t="inlineStr">
        <is>
          <t>S_ZOS_JCL_Ref</t>
        </is>
      </c>
      <c r="B9" s="2" t="inlineStr">
        <is>
          <t>MVS JCL Reference</t>
        </is>
      </c>
      <c r="C9" s="2" t="inlineStr">
        <is>
          <t>SA23-1385</t>
        </is>
      </c>
      <c r="D9" s="2" t="inlineStr">
        <is>
          <t>en</t>
        </is>
      </c>
      <c r="E9" s="2" t="inlineStr">
        <is>
          <t>Web</t>
        </is>
      </c>
      <c r="F9" s="2" t="inlineStr">
        <is>
          <t>https://www.ibm.com/docs/en/zos/3.1.0?topic=mvs-jcl-reference</t>
        </is>
      </c>
    </row>
    <row r="10">
      <c r="A10" s="2" t="inlineStr">
        <is>
          <t>S_ZOS_TSO</t>
        </is>
      </c>
      <c r="B10" s="2" t="inlineStr">
        <is>
          <t>TSO/E Customization</t>
        </is>
      </c>
      <c r="C10" s="2" t="inlineStr">
        <is>
          <t>SA32-0976</t>
        </is>
      </c>
      <c r="D10" s="2" t="inlineStr">
        <is>
          <t>en</t>
        </is>
      </c>
      <c r="E10" s="2" t="inlineStr">
        <is>
          <t>Web</t>
        </is>
      </c>
      <c r="F10" s="2" t="inlineStr">
        <is>
          <t>https://www.ibm.com/docs/en/zos/3.1.0?topic=tsoe-customization</t>
        </is>
      </c>
    </row>
    <row r="11">
      <c r="A11" s="2" t="inlineStr">
        <is>
          <t>S_ZOS_TSO_Cmds</t>
        </is>
      </c>
      <c r="B11" s="2" t="inlineStr">
        <is>
          <t>TSO/E Command Reference</t>
        </is>
      </c>
      <c r="C11" s="2" t="inlineStr">
        <is>
          <t>SA32-0975</t>
        </is>
      </c>
      <c r="D11" s="2" t="inlineStr">
        <is>
          <t>en</t>
        </is>
      </c>
      <c r="E11" s="2" t="inlineStr">
        <is>
          <t>Web</t>
        </is>
      </c>
      <c r="F11" s="2" t="inlineStr">
        <is>
          <t>https://www.ibm.com/docs/en/zos/3.1.0?topic=tsoe-command-reference</t>
        </is>
      </c>
    </row>
    <row r="12">
      <c r="A12" s="2" t="inlineStr">
        <is>
          <t>S_ZOS_TSO_REXX</t>
        </is>
      </c>
      <c r="B12" s="2" t="inlineStr">
        <is>
          <t>TSO/E REXX Reference</t>
        </is>
      </c>
      <c r="C12" s="2" t="inlineStr">
        <is>
          <t>SA32-0972</t>
        </is>
      </c>
      <c r="D12" s="2" t="inlineStr">
        <is>
          <t>en</t>
        </is>
      </c>
      <c r="E12" s="2" t="inlineStr">
        <is>
          <t>Web</t>
        </is>
      </c>
      <c r="F12" s="2" t="inlineStr">
        <is>
          <t>https://www.ibm.com/docs/en/zos/3.1.0?topic=tsoe-rexx-reference</t>
        </is>
      </c>
    </row>
    <row r="13">
      <c r="A13" s="2" t="inlineStr">
        <is>
          <t>S_ZOS_SDSF</t>
        </is>
      </c>
      <c r="B13" s="2" t="inlineStr">
        <is>
          <t>SDSF Operation and Customization</t>
        </is>
      </c>
      <c r="C13" s="2" t="inlineStr">
        <is>
          <t>SA32-0980</t>
        </is>
      </c>
      <c r="D13" s="2" t="inlineStr">
        <is>
          <t>en</t>
        </is>
      </c>
      <c r="E13" s="2" t="inlineStr">
        <is>
          <t>Web</t>
        </is>
      </c>
      <c r="F13" s="2" t="inlineStr">
        <is>
          <t>https://www.ibm.com/docs/en/zos/3.1.0?topic=sdsf-operation-customization</t>
        </is>
      </c>
    </row>
    <row r="14">
      <c r="A14" s="2" t="inlineStr">
        <is>
          <t>S_ZOS_DFSMS</t>
        </is>
      </c>
      <c r="B14" s="2" t="inlineStr">
        <is>
          <t>DFSMS Using Data Sets</t>
        </is>
      </c>
      <c r="C14" s="2" t="inlineStr">
        <is>
          <t>SC23-6855</t>
        </is>
      </c>
      <c r="D14" s="2" t="inlineStr">
        <is>
          <t>en</t>
        </is>
      </c>
      <c r="E14" s="2" t="inlineStr">
        <is>
          <t>Web</t>
        </is>
      </c>
      <c r="F14" s="2" t="inlineStr">
        <is>
          <t>https://www.ibm.com/docs/en/zos/3.1.0?topic=dfsms-using-data-sets</t>
        </is>
      </c>
    </row>
    <row r="15">
      <c r="A15" s="2" t="inlineStr">
        <is>
          <t>S_ZOS_RACF</t>
        </is>
      </c>
      <c r="B15" s="2" t="inlineStr">
        <is>
          <t>Security Server RACF Security Administrator's Guide</t>
        </is>
      </c>
      <c r="C15" s="2" t="inlineStr">
        <is>
          <t>SA23-2289</t>
        </is>
      </c>
      <c r="D15" s="2" t="inlineStr">
        <is>
          <t>en</t>
        </is>
      </c>
      <c r="E15" s="2" t="inlineStr">
        <is>
          <t>Web</t>
        </is>
      </c>
      <c r="F15" s="2" t="inlineStr">
        <is>
          <t>https://www.ibm.com/docs/en/zos/3.1.0?topic=racf-security-administrators-guide</t>
        </is>
      </c>
    </row>
    <row r="16">
      <c r="A16" s="2" t="inlineStr">
        <is>
          <t>S_ZOS_RACF_Cmds</t>
        </is>
      </c>
      <c r="B16" s="2" t="inlineStr">
        <is>
          <t>Security Server RACF Command Language Reference</t>
        </is>
      </c>
      <c r="C16" s="2" t="inlineStr">
        <is>
          <t>SA23-2292</t>
        </is>
      </c>
      <c r="D16" s="2" t="inlineStr">
        <is>
          <t>en</t>
        </is>
      </c>
      <c r="E16" s="2" t="inlineStr">
        <is>
          <t>Web</t>
        </is>
      </c>
      <c r="F16" s="2" t="inlineStr">
        <is>
          <t>https://www.ibm.com/docs/en/zos/3.1.0?topic=racf-command-language-reference</t>
        </is>
      </c>
    </row>
    <row r="17">
      <c r="A17" s="2" t="inlineStr">
        <is>
          <t>S_ZOS_USS</t>
        </is>
      </c>
      <c r="B17" s="2" t="inlineStr">
        <is>
          <t>UNIX System Services Planning</t>
        </is>
      </c>
      <c r="C17" s="2" t="inlineStr">
        <is>
          <t>GA32-0884</t>
        </is>
      </c>
      <c r="D17" s="2" t="inlineStr">
        <is>
          <t>en</t>
        </is>
      </c>
      <c r="E17" s="2" t="inlineStr">
        <is>
          <t>Web</t>
        </is>
      </c>
      <c r="F17" s="2" t="inlineStr">
        <is>
          <t>https://www.ibm.com/docs/en/zos/3.1.0?topic=unix-system-services-planning</t>
        </is>
      </c>
    </row>
    <row r="18">
      <c r="A18" s="2" t="inlineStr">
        <is>
          <t>S_ZOS_USS_Cmds</t>
        </is>
      </c>
      <c r="B18" s="2" t="inlineStr">
        <is>
          <t>UNIX System Services Command Reference</t>
        </is>
      </c>
      <c r="C18" s="2" t="inlineStr">
        <is>
          <t>SA23-2280</t>
        </is>
      </c>
      <c r="D18" s="2" t="inlineStr">
        <is>
          <t>en</t>
        </is>
      </c>
      <c r="E18" s="2" t="inlineStr">
        <is>
          <t>Web</t>
        </is>
      </c>
      <c r="F18" s="2" t="inlineStr">
        <is>
          <t>https://www.ibm.com/docs/en/zos/3.1.0?topic=unix-system-services-command-reference</t>
        </is>
      </c>
    </row>
    <row r="19">
      <c r="A19" s="2" t="inlineStr">
        <is>
          <t>S_ZOS_CommServer</t>
        </is>
      </c>
      <c r="B19" s="2" t="inlineStr">
        <is>
          <t>Communications Server IP Configuration Reference</t>
        </is>
      </c>
      <c r="C19" s="2" t="inlineStr">
        <is>
          <t>SC27-3651</t>
        </is>
      </c>
      <c r="D19" s="2" t="inlineStr">
        <is>
          <t>en</t>
        </is>
      </c>
      <c r="E19" s="2" t="inlineStr">
        <is>
          <t>Web</t>
        </is>
      </c>
      <c r="F19" s="2" t="inlineStr">
        <is>
          <t>https://www.ibm.com/docs/en/zos/3.1.0?topic=cs-ip-configuration-reference</t>
        </is>
      </c>
    </row>
    <row r="20">
      <c r="A20" s="2" t="inlineStr">
        <is>
          <t>S_ZOS_Sysplex</t>
        </is>
      </c>
      <c r="B20" s="2" t="inlineStr">
        <is>
          <t>MVS Setting Up a Sysplex</t>
        </is>
      </c>
      <c r="C20" s="2" t="inlineStr">
        <is>
          <t>SA23-1399</t>
        </is>
      </c>
      <c r="D20" s="2" t="inlineStr">
        <is>
          <t>en</t>
        </is>
      </c>
      <c r="E20" s="2" t="inlineStr">
        <is>
          <t>Web</t>
        </is>
      </c>
      <c r="F20" s="2" t="inlineStr">
        <is>
          <t>https://www.ibm.com/docs/en/zos/3.1.0?topic=mvs-setting-up-sysplex</t>
        </is>
      </c>
    </row>
    <row r="21">
      <c r="A21" s="2" t="inlineStr">
        <is>
          <t>S_ZOS_SMF</t>
        </is>
      </c>
      <c r="B21" s="2" t="inlineStr">
        <is>
          <t>MVS System Management Facilities (SMF)</t>
        </is>
      </c>
      <c r="C21" s="2" t="inlineStr">
        <is>
          <t>SA38-0667</t>
        </is>
      </c>
      <c r="D21" s="2" t="inlineStr">
        <is>
          <t>en</t>
        </is>
      </c>
      <c r="E21" s="2" t="inlineStr">
        <is>
          <t>Web</t>
        </is>
      </c>
      <c r="F21" s="2" t="inlineStr">
        <is>
          <t>https://www.ibm.com/docs/en/zos/3.1.0?topic=mvs-system-management-facilities-smf</t>
        </is>
      </c>
    </row>
    <row r="22">
      <c r="A22" s="2" t="inlineStr">
        <is>
          <t>S_ZOS_WLM</t>
        </is>
      </c>
      <c r="B22" s="2" t="inlineStr">
        <is>
          <t>MVS Planning: Workload Management</t>
        </is>
      </c>
      <c r="C22" s="2" t="inlineStr">
        <is>
          <t>SA23-1389</t>
        </is>
      </c>
      <c r="D22" s="2" t="inlineStr">
        <is>
          <t>en</t>
        </is>
      </c>
      <c r="E22" s="2" t="inlineStr">
        <is>
          <t>Web</t>
        </is>
      </c>
      <c r="F22" s="2" t="inlineStr">
        <is>
          <t>https://www.ibm.com/docs/en/zos/3.1.0?topic=mvs-planning-workload-management</t>
        </is>
      </c>
    </row>
    <row r="23">
      <c r="A23" s="2" t="inlineStr">
        <is>
          <t>S_ZOS_RMF</t>
        </is>
      </c>
      <c r="B23" s="2" t="inlineStr">
        <is>
          <t>RMF Performance Management Guide</t>
        </is>
      </c>
      <c r="C23" s="2" t="inlineStr">
        <is>
          <t>SC34-2671</t>
        </is>
      </c>
      <c r="D23" s="2" t="inlineStr">
        <is>
          <t>en</t>
        </is>
      </c>
      <c r="E23" s="2" t="inlineStr">
        <is>
          <t>Web</t>
        </is>
      </c>
      <c r="F23" s="2" t="inlineStr">
        <is>
          <t>https://www.ibm.com/docs/en/zos/3.1.0?topic=rmf-performance-management-guide</t>
        </is>
      </c>
    </row>
    <row r="24">
      <c r="A24" s="2" t="inlineStr">
        <is>
          <t>S_ZOS_SMPE</t>
        </is>
      </c>
      <c r="B24" s="2" t="inlineStr">
        <is>
          <t>SMP/E Reference</t>
        </is>
      </c>
      <c r="C24" s="2" t="inlineStr">
        <is>
          <t>SA23-2273</t>
        </is>
      </c>
      <c r="D24" s="2" t="inlineStr">
        <is>
          <t>en</t>
        </is>
      </c>
      <c r="E24" s="2" t="inlineStr">
        <is>
          <t>Web</t>
        </is>
      </c>
      <c r="F24" s="2" t="inlineStr">
        <is>
          <t>https://www.ibm.com/docs/en/zos/3.1.0?topic=smpe-reference</t>
        </is>
      </c>
    </row>
    <row r="25">
      <c r="A25" s="2" t="inlineStr">
        <is>
          <t>S_ZOS_HCD</t>
        </is>
      </c>
      <c r="B25" s="2" t="inlineStr">
        <is>
          <t>HCD User's Guide</t>
        </is>
      </c>
      <c r="C25" s="2" t="inlineStr">
        <is>
          <t>SC34-2669</t>
        </is>
      </c>
      <c r="D25" s="2" t="inlineStr">
        <is>
          <t>en</t>
        </is>
      </c>
      <c r="E25" s="2" t="inlineStr">
        <is>
          <t>Web</t>
        </is>
      </c>
      <c r="F25" s="2" t="inlineStr">
        <is>
          <t>https://www.ibm.com/docs/en/zos/3.1.0?topic=hcd-users-guide</t>
        </is>
      </c>
    </row>
    <row r="26">
      <c r="A26" s="2" t="inlineStr">
        <is>
          <t>S_ZOS_Diag</t>
        </is>
      </c>
      <c r="B26" s="2" t="inlineStr">
        <is>
          <t>MVS Diagnosis: Reference</t>
        </is>
      </c>
      <c r="C26" s="2" t="inlineStr">
        <is>
          <t>GA32-0904</t>
        </is>
      </c>
      <c r="D26" s="2" t="inlineStr">
        <is>
          <t>en</t>
        </is>
      </c>
      <c r="E26" s="2" t="inlineStr">
        <is>
          <t>Web</t>
        </is>
      </c>
      <c r="F26" s="2" t="inlineStr">
        <is>
          <t>https://www.ibm.com/docs/en/zos/3.1.0?topic=mvs-diagnosis-reference</t>
        </is>
      </c>
    </row>
    <row r="27">
      <c r="A27" s="2" t="inlineStr">
        <is>
          <t>S_ZOS_LE</t>
        </is>
      </c>
      <c r="B27" s="2" t="inlineStr">
        <is>
          <t>Language Environment Customization</t>
        </is>
      </c>
      <c r="C27" s="2" t="inlineStr">
        <is>
          <t>SA38-0685</t>
        </is>
      </c>
      <c r="D27" s="2" t="inlineStr">
        <is>
          <t>en</t>
        </is>
      </c>
      <c r="E27" s="2" t="inlineStr">
        <is>
          <t>Web</t>
        </is>
      </c>
      <c r="F27" s="2" t="inlineStr">
        <is>
          <t>https://www.ibm.com/docs/en/zos/3.1.0?topic=language-environment-customization</t>
        </is>
      </c>
    </row>
    <row r="28">
      <c r="A28" s="2" t="inlineStr">
        <is>
          <t>S_ZOS_ABCs01</t>
        </is>
      </c>
      <c r="B28" s="2" t="inlineStr">
        <is>
          <t>ABCs of z/OS Vol.01: Intro/TSO/ISPF/JCL/SDSF (Redbook)</t>
        </is>
      </c>
      <c r="C28" s="2" t="inlineStr">
        <is>
          <t>SG24-7976</t>
        </is>
      </c>
      <c r="D28" s="2" t="inlineStr">
        <is>
          <t>en</t>
        </is>
      </c>
      <c r="E28" s="2" t="inlineStr">
        <is>
          <t>Redbook</t>
        </is>
      </c>
      <c r="F28" s="2" t="inlineStr">
        <is>
          <t>https://www.redbooks.ibm.com/abstracts/sg247976.html</t>
        </is>
      </c>
    </row>
    <row r="29">
      <c r="A29" s="2" t="inlineStr">
        <is>
          <t>S_ZOS_ABCs02</t>
        </is>
      </c>
      <c r="B29" s="2" t="inlineStr">
        <is>
          <t>ABCs of z/OS Vol.02: JES, SMP/E (Redbook)</t>
        </is>
      </c>
      <c r="C29" s="2" t="inlineStr">
        <is>
          <t>SG24-7977</t>
        </is>
      </c>
      <c r="D29" s="2" t="inlineStr">
        <is>
          <t>en</t>
        </is>
      </c>
      <c r="E29" s="2" t="inlineStr">
        <is>
          <t>Redbook</t>
        </is>
      </c>
      <c r="F29" s="2" t="inlineStr">
        <is>
          <t>https://www.redbooks.ibm.com/abstracts/sg247977.html</t>
        </is>
      </c>
    </row>
    <row r="30">
      <c r="A30" s="2" t="inlineStr">
        <is>
          <t>S_ZOS_ABCs03</t>
        </is>
      </c>
      <c r="B30" s="2" t="inlineStr">
        <is>
          <t>ABCs of z/OS Vol.03: DFSMS, VSAM, Catalogs (Redbook)</t>
        </is>
      </c>
      <c r="C30" s="2" t="inlineStr">
        <is>
          <t>SG24-7978</t>
        </is>
      </c>
      <c r="D30" s="2" t="inlineStr">
        <is>
          <t>en</t>
        </is>
      </c>
      <c r="E30" s="2" t="inlineStr">
        <is>
          <t>Redbook</t>
        </is>
      </c>
      <c r="F30" s="2" t="inlineStr">
        <is>
          <t>https://www.redbooks.ibm.com/abstracts/sg247978.html</t>
        </is>
      </c>
    </row>
    <row r="31">
      <c r="A31" s="2" t="inlineStr">
        <is>
          <t>S_ZOS_ABCs04</t>
        </is>
      </c>
      <c r="B31" s="2" t="inlineStr">
        <is>
          <t>ABCs of z/OS Vol.04: Communications Server (Redbook)</t>
        </is>
      </c>
      <c r="C31" s="2" t="inlineStr">
        <is>
          <t>SG24-7979</t>
        </is>
      </c>
      <c r="D31" s="2" t="inlineStr">
        <is>
          <t>en</t>
        </is>
      </c>
      <c r="E31" s="2" t="inlineStr">
        <is>
          <t>Redbook</t>
        </is>
      </c>
      <c r="F31" s="2" t="inlineStr">
        <is>
          <t>https://www.redbooks.ibm.com/abstracts/sg247979.html</t>
        </is>
      </c>
    </row>
    <row r="32">
      <c r="A32" s="2" t="inlineStr">
        <is>
          <t>S_ZOS_ABCs05</t>
        </is>
      </c>
      <c r="B32" s="2" t="inlineStr">
        <is>
          <t>ABCs of z/OS Vol.05: Sysplex/RRS/GRS/ARM/GDPS (Redbook)</t>
        </is>
      </c>
      <c r="C32" s="2" t="inlineStr">
        <is>
          <t>SG24-7980</t>
        </is>
      </c>
      <c r="D32" s="2" t="inlineStr">
        <is>
          <t>en</t>
        </is>
      </c>
      <c r="E32" s="2" t="inlineStr">
        <is>
          <t>Redbook</t>
        </is>
      </c>
      <c r="F32" s="2" t="inlineStr">
        <is>
          <t>https://www.redbooks.ibm.com/abstracts/sg247980.html</t>
        </is>
      </c>
    </row>
    <row r="33">
      <c r="A33" s="2" t="inlineStr">
        <is>
          <t>S_ZOS_ABCs06</t>
        </is>
      </c>
      <c r="B33" s="2" t="inlineStr">
        <is>
          <t>ABCs of z/OS Vol.06: Security/RACF/PKI (Redbook)</t>
        </is>
      </c>
      <c r="C33" s="2" t="inlineStr">
        <is>
          <t>SG24-7981</t>
        </is>
      </c>
      <c r="D33" s="2" t="inlineStr">
        <is>
          <t>en</t>
        </is>
      </c>
      <c r="E33" s="2" t="inlineStr">
        <is>
          <t>Redbook</t>
        </is>
      </c>
      <c r="F33" s="2" t="inlineStr">
        <is>
          <t>https://www.redbooks.ibm.com/abstracts/sg247981.html</t>
        </is>
      </c>
    </row>
    <row r="34">
      <c r="A34" s="2" t="inlineStr">
        <is>
          <t>S_ZOS_ABCs07</t>
        </is>
      </c>
      <c r="B34" s="2" t="inlineStr">
        <is>
          <t>ABCs of z/OS Vol.07: Printing (Redbook)</t>
        </is>
      </c>
      <c r="C34" s="2" t="inlineStr">
        <is>
          <t>SG24-7982</t>
        </is>
      </c>
      <c r="D34" s="2" t="inlineStr">
        <is>
          <t>en</t>
        </is>
      </c>
      <c r="E34" s="2" t="inlineStr">
        <is>
          <t>Redbook</t>
        </is>
      </c>
      <c r="F34" s="2" t="inlineStr">
        <is>
          <t>https://www.redbooks.ibm.com/abstracts/sg247982.html</t>
        </is>
      </c>
    </row>
    <row r="35">
      <c r="A35" s="2" t="inlineStr">
        <is>
          <t>S_ZOS_ABCs08</t>
        </is>
      </c>
      <c r="B35" s="2" t="inlineStr">
        <is>
          <t>ABCs of z/OS Vol.08: Problem Diagnosis (Redbook)</t>
        </is>
      </c>
      <c r="C35" s="2" t="inlineStr">
        <is>
          <t>SG24-7983</t>
        </is>
      </c>
      <c r="D35" s="2" t="inlineStr">
        <is>
          <t>en</t>
        </is>
      </c>
      <c r="E35" s="2" t="inlineStr">
        <is>
          <t>Redbook</t>
        </is>
      </c>
      <c r="F35" s="2" t="inlineStr">
        <is>
          <t>https://www.redbooks.ibm.com/abstracts/sg247983.html</t>
        </is>
      </c>
    </row>
    <row r="36">
      <c r="A36" s="2" t="inlineStr">
        <is>
          <t>S_ZOS_ABCs09</t>
        </is>
      </c>
      <c r="B36" s="2" t="inlineStr">
        <is>
          <t>ABCs of z/OS Vol.09: UNIX System Services (Redbook)</t>
        </is>
      </c>
      <c r="C36" s="2" t="inlineStr">
        <is>
          <t>SG24-7984</t>
        </is>
      </c>
      <c r="D36" s="2" t="inlineStr">
        <is>
          <t>en</t>
        </is>
      </c>
      <c r="E36" s="2" t="inlineStr">
        <is>
          <t>Redbook</t>
        </is>
      </c>
      <c r="F36" s="2" t="inlineStr">
        <is>
          <t>https://www.redbooks.ibm.com/abstracts/sg247984.html</t>
        </is>
      </c>
    </row>
    <row r="37">
      <c r="A37" s="2" t="inlineStr">
        <is>
          <t>S_ZOS_ABCs10</t>
        </is>
      </c>
      <c r="B37" s="2" t="inlineStr">
        <is>
          <t>ABCs of z/OS Vol.10: zArchitecture/HW/LPAR/HCD (Redbook)</t>
        </is>
      </c>
      <c r="C37" s="2" t="inlineStr">
        <is>
          <t>SG24-7985</t>
        </is>
      </c>
      <c r="D37" s="2" t="inlineStr">
        <is>
          <t>en</t>
        </is>
      </c>
      <c r="E37" s="2" t="inlineStr">
        <is>
          <t>Redbook</t>
        </is>
      </c>
      <c r="F37" s="2" t="inlineStr">
        <is>
          <t>https://www.redbooks.ibm.com/abstracts/sg247985.html</t>
        </is>
      </c>
    </row>
    <row r="38">
      <c r="A38" s="2" t="inlineStr">
        <is>
          <t>S_ZOS_ABCs11</t>
        </is>
      </c>
      <c r="B38" s="2" t="inlineStr">
        <is>
          <t>ABCs of z/OS Vol.11: Capacity Planning/WLM/RMF/SMF (Redbook)</t>
        </is>
      </c>
      <c r="C38" s="2" t="inlineStr">
        <is>
          <t>SG24-7986</t>
        </is>
      </c>
      <c r="D38" s="2" t="inlineStr">
        <is>
          <t>en</t>
        </is>
      </c>
      <c r="E38" s="2" t="inlineStr">
        <is>
          <t>Redbook</t>
        </is>
      </c>
      <c r="F38" s="2" t="inlineStr">
        <is>
          <t>https://www.redbooks.ibm.com/abstracts/sg247986.html</t>
        </is>
      </c>
    </row>
    <row r="39">
      <c r="A39" s="2" t="inlineStr">
        <is>
          <t>S_ZOS_ABCs12</t>
        </is>
      </c>
      <c r="B39" s="2" t="inlineStr">
        <is>
          <t>ABCs of z/OS Vol.12: WLM (Redbook)</t>
        </is>
      </c>
      <c r="C39" s="2" t="inlineStr">
        <is>
          <t>SG24-7987</t>
        </is>
      </c>
      <c r="D39" s="2" t="inlineStr">
        <is>
          <t>en</t>
        </is>
      </c>
      <c r="E39" s="2" t="inlineStr">
        <is>
          <t>Redbook</t>
        </is>
      </c>
      <c r="F39" s="2" t="inlineStr">
        <is>
          <t>https://www.redbooks.ibm.com/abstracts/sg247987.html</t>
        </is>
      </c>
    </row>
    <row r="40">
      <c r="A40" s="2" t="inlineStr">
        <is>
          <t>S_ZOS_ABCs13</t>
        </is>
      </c>
      <c r="B40" s="2" t="inlineStr">
        <is>
          <t>ABCs of z/OS Vol.13: SDSF (Redbook)</t>
        </is>
      </c>
      <c r="C40" s="2" t="inlineStr">
        <is>
          <t>SG24-7988</t>
        </is>
      </c>
      <c r="D40" s="2" t="inlineStr">
        <is>
          <t>en</t>
        </is>
      </c>
      <c r="E40" s="2" t="inlineStr">
        <is>
          <t>Redbook</t>
        </is>
      </c>
      <c r="F40" s="2" t="inlineStr">
        <is>
          <t>https://www.redbooks.ibm.com/abstracts/sg247988.html</t>
        </is>
      </c>
    </row>
    <row r="41">
      <c r="A41" s="2" t="inlineStr">
        <is>
          <t>S_ZOS_Review</t>
        </is>
      </c>
      <c r="B41" s="2" t="inlineStr">
        <is>
          <t>z/OS 3.1 サイト v1 構築（本サイト）</t>
        </is>
      </c>
      <c r="C41" s="2" t="inlineStr">
        <is>
          <t>—</t>
        </is>
      </c>
      <c r="D41" s="2" t="inlineStr">
        <is>
          <t>ja</t>
        </is>
      </c>
      <c r="E41" s="2" t="inlineStr">
        <is>
          <t>Internal</t>
        </is>
      </c>
      <c r="F41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5" customWidth="1" min="2" max="2"/>
    <col width="8" customWidth="1" min="3" max="3"/>
    <col width="14" customWidth="1" min="4" max="4"/>
    <col width="30" customWidth="1" min="5" max="5"/>
    <col width="25" customWidth="1" min="6" max="6"/>
    <col width="50" customWidth="1" min="7" max="7"/>
    <col width="30" customWidth="1" min="8" max="8"/>
    <col width="30" customWidth="1" min="9" max="9"/>
    <col width="25" customWidth="1" min="10" max="10"/>
    <col width="25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タイトル</t>
        </is>
      </c>
      <c r="C1" s="1" t="inlineStr">
        <is>
          <t>重要度</t>
        </is>
      </c>
      <c r="D1" s="1" t="inlineStr">
        <is>
          <t>用途</t>
        </is>
      </c>
      <c r="E1" s="1" t="inlineStr">
        <is>
          <t>目的</t>
        </is>
      </c>
      <c r="F1" s="1" t="inlineStr">
        <is>
          <t>前提</t>
        </is>
      </c>
      <c r="G1" s="1" t="inlineStr">
        <is>
          <t>手順</t>
        </is>
      </c>
      <c r="H1" s="1" t="inlineStr">
        <is>
          <t>期待出力</t>
        </is>
      </c>
      <c r="I1" s="1" t="inlineStr">
        <is>
          <t>検証</t>
        </is>
      </c>
      <c r="J1" s="1" t="inlineStr">
        <is>
          <t>ロールバック</t>
        </is>
      </c>
      <c r="K1" s="1" t="inlineStr">
        <is>
          <t>関連</t>
        </is>
      </c>
      <c r="L1" s="1" t="inlineStr">
        <is>
          <t>出典</t>
        </is>
      </c>
    </row>
    <row r="2">
      <c r="A2" s="2" t="inlineStr">
        <is>
          <t>cfg-parmlib-update</t>
        </is>
      </c>
      <c r="B2" s="2" t="inlineStr">
        <is>
          <t>PARMLIB メンバの更新と反映</t>
        </is>
      </c>
      <c r="C2" s="2" t="inlineStr">
        <is>
          <t>S</t>
        </is>
      </c>
      <c r="D2" s="2" t="inlineStr">
        <is>
          <t>PARMLIB</t>
        </is>
      </c>
      <c r="E2" s="2" t="inlineStr">
        <is>
          <t>SYS1.PARMLIB 配下メンバの安全な変更フロー。</t>
        </is>
      </c>
      <c r="F2" s="2" t="inlineStr">
        <is>
          <t>TSO ユーザに PARMLIB UPDATE 権限。RACF 制御の場合 PERMIT 確認。</t>
        </is>
      </c>
      <c r="G2" s="2" t="inlineStr">
        <is>
          <t>1. SYS1.PARMLIB(&lt;member&gt;) を ISPF EDIT でバックアップコピーを取得（例: SYS1.PARMLIB.BAK）
2. 元メンバを編集
3. SET &lt;type&gt;=xx で動的反映可能か確認、可能なら実行
4. 不可な場合は次回 IPL で反映
5. 反映後 D &lt;type&gt; で値確認</t>
        </is>
      </c>
      <c r="H2" s="2" t="inlineStr">
        <is>
          <t>D &lt;type&gt; 出力に新値が反映</t>
        </is>
      </c>
      <c r="I2" s="2" t="inlineStr">
        <is>
          <t>コマンド応答で新値、関連サブシステムの動作確認</t>
        </is>
      </c>
      <c r="J2" s="2" t="inlineStr">
        <is>
          <t>バックアップから元メンバを復元、再度 SET でロールバック</t>
        </is>
      </c>
      <c r="K2" s="2" t="inlineStr">
        <is>
          <t>cfg-clpa-ipl, inc-ipl-fail</t>
        </is>
      </c>
      <c r="L2" s="2" t="inlineStr">
        <is>
          <t>S_ZOS_Init_Tuning</t>
        </is>
      </c>
    </row>
    <row r="3">
      <c r="A3" s="2" t="inlineStr">
        <is>
          <t>cfg-jes2-init</t>
        </is>
      </c>
      <c r="B3" s="2" t="inlineStr">
        <is>
          <t>JES2 INITDECK の修正</t>
        </is>
      </c>
      <c r="C3" s="2" t="inlineStr">
        <is>
          <t>S</t>
        </is>
      </c>
      <c r="D3" s="2" t="inlineStr">
        <is>
          <t>JES2</t>
        </is>
      </c>
      <c r="E3" s="2" t="inlineStr">
        <is>
          <t>JES2 のジョブクラス・イニシエータ定義変更。</t>
        </is>
      </c>
      <c r="F3" s="2" t="inlineStr">
        <is>
          <t>MASTER コンソール権限、または RACF JES2.* 権限。</t>
        </is>
      </c>
      <c r="G3" s="2" t="inlineStr">
        <is>
          <t>1. INITDECK バックアップ
2. INITDECK 編集（JOBCLASS, INITDEF 等）
3. $T で動的反映可能なものは反映
4. cold start 必須項目は次回 IPL
5. $D &lt;option&gt; で確認</t>
        </is>
      </c>
      <c r="H3" s="2" t="inlineStr">
        <is>
          <t>$D 出力に新値反映</t>
        </is>
      </c>
      <c r="I3" s="2" t="inlineStr">
        <is>
          <t>$DA でジョブ動作確認</t>
        </is>
      </c>
      <c r="J3" s="2" t="inlineStr">
        <is>
          <t>INITDECK 元に戻し、$T で再反映</t>
        </is>
      </c>
      <c r="K3" s="2" t="inlineStr">
        <is>
          <t>inc-jes2-spool-full</t>
        </is>
      </c>
      <c r="L3" s="2" t="inlineStr">
        <is>
          <t>S_ZOS_JES2</t>
        </is>
      </c>
    </row>
    <row r="4">
      <c r="A4" s="2" t="inlineStr">
        <is>
          <t>cfg-smf-collect</t>
        </is>
      </c>
      <c r="B4" s="2" t="inlineStr">
        <is>
          <t>SMF レコード収集設定</t>
        </is>
      </c>
      <c r="C4" s="2" t="inlineStr">
        <is>
          <t>S</t>
        </is>
      </c>
      <c r="D4" s="2" t="inlineStr">
        <is>
          <t>SMF</t>
        </is>
      </c>
      <c r="E4" s="2" t="inlineStr">
        <is>
          <t>SMFPRMxx の TYPE 指定でレコード収集対象を変更。</t>
        </is>
      </c>
      <c r="F4" s="2" t="inlineStr">
        <is>
          <t>PARMLIB 編集権限、SMF データセット容量確保。</t>
        </is>
      </c>
      <c r="G4" s="2" t="inlineStr">
        <is>
          <t>1. SMFPRMxx バックアップ
2. TYPE() オペランド変更
3. SET SMF=xx で動的反映
4. D SMF で確認</t>
        </is>
      </c>
      <c r="H4" s="2" t="inlineStr">
        <is>
          <t>D SMF が新 TYPE 値表示</t>
        </is>
      </c>
      <c r="I4" s="2" t="inlineStr">
        <is>
          <t>IFASMFDP でレコード抽出、新 type が記録されているか確認</t>
        </is>
      </c>
      <c r="J4" s="2" t="inlineStr">
        <is>
          <t>SMFPRMxx 元に戻し SET SMF</t>
        </is>
      </c>
      <c r="K4" s="2" t="inlineStr">
        <is>
          <t>inc-smf-collect-fail</t>
        </is>
      </c>
      <c r="L4" s="2" t="inlineStr">
        <is>
          <t>S_ZOS_SMF</t>
        </is>
      </c>
    </row>
    <row r="5">
      <c r="A5" s="2" t="inlineStr">
        <is>
          <t>cfg-racf-permit</t>
        </is>
      </c>
      <c r="B5" s="2" t="inlineStr">
        <is>
          <t>RACF データセット保護とアクセス権付与</t>
        </is>
      </c>
      <c r="C5" s="2" t="inlineStr">
        <is>
          <t>S</t>
        </is>
      </c>
      <c r="D5" s="2" t="inlineStr">
        <is>
          <t>RACF</t>
        </is>
      </c>
      <c r="E5" s="2" t="inlineStr">
        <is>
          <t>DATASET PROFILE 作成と PERMIT で権限制御。</t>
        </is>
      </c>
      <c r="F5" s="2" t="inlineStr">
        <is>
          <t>SPECIAL or AUDITOR 権限、または class authority。</t>
        </is>
      </c>
      <c r="G5" s="2" t="inlineStr">
        <is>
          <t>1. ADDSD '&lt;dsn&gt;' UACC(NONE) GENERIC で profile 作成
2. PERMIT '&lt;dsn&gt;' ID(&lt;userid&gt;) ACCESS(READ|UPDATE|...) で権限付与
3. SETROPTS GENERIC(DATASET) REFRESH で反映
4. RLIST DATASET '&lt;dsn&gt;' AUTHUSER で確認</t>
        </is>
      </c>
      <c r="H5" s="2" t="inlineStr">
        <is>
          <t>RLIST 出力に対象 ID と access level 表示</t>
        </is>
      </c>
      <c r="I5" s="2" t="inlineStr">
        <is>
          <t>対象ユーザでアクセステスト</t>
        </is>
      </c>
      <c r="J5" s="2" t="inlineStr">
        <is>
          <t>PERMIT '&lt;dsn&gt;' ID(&lt;userid&gt;) DELETE</t>
        </is>
      </c>
      <c r="K5" s="2" t="inlineStr">
        <is>
          <t>inc-racf-access-denied</t>
        </is>
      </c>
      <c r="L5" s="2" t="inlineStr">
        <is>
          <t>S_ZOS_RACF</t>
        </is>
      </c>
    </row>
    <row r="6">
      <c r="A6" s="2" t="inlineStr">
        <is>
          <t>cfg-tcpip-profile</t>
        </is>
      </c>
      <c r="B6" s="2" t="inlineStr">
        <is>
          <t>TCPIP PROFILE の更新</t>
        </is>
      </c>
      <c r="C6" s="2" t="inlineStr">
        <is>
          <t>S</t>
        </is>
      </c>
      <c r="D6" s="2" t="inlineStr">
        <is>
          <t>TCPIP</t>
        </is>
      </c>
      <c r="E6" s="2" t="inlineStr">
        <is>
          <t>PROFILE.TCPIP の HOME / PORT / ROUTE 等の変更。</t>
        </is>
      </c>
      <c r="F6" s="2" t="inlineStr">
        <is>
          <t>TCPIP STC 権限、PROFILE データセット編集権限。</t>
        </is>
      </c>
      <c r="G6" s="2" t="inlineStr">
        <is>
          <t>1. PROFILE.TCPIP のバックアップ
2. ステートメント編集
3. VARY TCPIP,,OBEYFILE,'&lt;modified profile&gt;' で動的反映
4. NETSTAT で確認</t>
        </is>
      </c>
      <c r="H6" s="2" t="inlineStr">
        <is>
          <t>NETSTAT HOME/DEV/ROUTE で新値表示</t>
        </is>
      </c>
      <c r="I6" s="2" t="inlineStr">
        <is>
          <t>ping/telnet で疎通確認</t>
        </is>
      </c>
      <c r="J6" s="2" t="inlineStr">
        <is>
          <t>OBEYFILE で旧 PROFILE に戻す</t>
        </is>
      </c>
      <c r="K6" s="2" t="inlineStr">
        <is>
          <t>inc-tcpip-down</t>
        </is>
      </c>
      <c r="L6" s="2" t="inlineStr">
        <is>
          <t>S_ZOS_CommServer</t>
        </is>
      </c>
    </row>
    <row r="7">
      <c r="A7" s="2" t="inlineStr">
        <is>
          <t>cfg-uss-fs</t>
        </is>
      </c>
      <c r="B7" s="2" t="inlineStr">
        <is>
          <t>USS ファイルシステム拡張・追加</t>
        </is>
      </c>
      <c r="C7" s="2" t="inlineStr">
        <is>
          <t>S</t>
        </is>
      </c>
      <c r="D7" s="2" t="inlineStr">
        <is>
          <t>USS</t>
        </is>
      </c>
      <c r="E7" s="2" t="inlineStr">
        <is>
          <t>zFS aggregate 拡張、または BPXPRMxx に MOUNT 追加。</t>
        </is>
      </c>
      <c r="F7" s="2" t="inlineStr">
        <is>
          <t>BPXPRMxx 編集権限、zFS データセット作成権限。</t>
        </is>
      </c>
      <c r="G7" s="2" t="inlineStr">
        <is>
          <t>1. zfsadm grow -aggregate &lt;name&gt; -size &lt;new size&gt; で aggregate 拡張
2. BPXPRMxx に MOUNT 追加（新規 FS の場合）
3. SET OMVS=xx で動的反映
4. df -k で確認</t>
        </is>
      </c>
      <c r="H7" s="2" t="inlineStr">
        <is>
          <t>df -k 出力に容量増 or 新 FS 表示</t>
        </is>
      </c>
      <c r="I7" s="2" t="inlineStr">
        <is>
          <t>ls / touch で書き込みテスト</t>
        </is>
      </c>
      <c r="J7" s="2" t="inlineStr">
        <is>
          <t>BPXPRMxx 元に戻し SET OMVS、または UNMOUNT</t>
        </is>
      </c>
      <c r="K7" s="2" t="inlineStr">
        <is>
          <t>inc-uss-fs-full</t>
        </is>
      </c>
      <c r="L7" s="2" t="inlineStr">
        <is>
          <t>S_ZOS_USS</t>
        </is>
      </c>
    </row>
    <row r="8">
      <c r="A8" s="2" t="inlineStr">
        <is>
          <t>cfg-sysplex-define</t>
        </is>
      </c>
      <c r="B8" s="2" t="inlineStr">
        <is>
          <t>Sysplex / CF 定義</t>
        </is>
      </c>
      <c r="C8" s="2" t="inlineStr">
        <is>
          <t>S</t>
        </is>
      </c>
      <c r="D8" s="2" t="inlineStr">
        <is>
          <t>Sysplex</t>
        </is>
      </c>
      <c r="E8" s="2" t="inlineStr">
        <is>
          <t>COUPLExx と CFRM Policy で Sysplex 構成。</t>
        </is>
      </c>
      <c r="F8" s="2" t="inlineStr">
        <is>
          <t>CDS（Couple Data Set）作成済、CF 構成済。</t>
        </is>
      </c>
      <c r="G8" s="2" t="inlineStr">
        <is>
          <t>1. Format CDS（IXCL1DSU）
2. COUPLExx で SYSPLEX 名・CDS 指定
3. CFRM Policy 作成 (IXCMIAPU)
4. SETXCF START で活性化
5. D XCF / D CF で確認</t>
        </is>
      </c>
      <c r="H8" s="2" t="inlineStr">
        <is>
          <t>D XCF,COUPLE で全 CDS active 表示</t>
        </is>
      </c>
      <c r="I8" s="2" t="inlineStr">
        <is>
          <t>全 Sysplex メンバから D XCF が一致</t>
        </is>
      </c>
      <c r="J8" s="2" t="inlineStr">
        <is>
          <t>SETXCF STOP、別 CDS で再活性化</t>
        </is>
      </c>
      <c r="K8" s="2" t="inlineStr">
        <is>
          <t>inc-sysplex-split</t>
        </is>
      </c>
      <c r="L8" s="2" t="inlineStr">
        <is>
          <t>S_ZOS_Sysplex</t>
        </is>
      </c>
    </row>
    <row r="9">
      <c r="A9" s="2" t="inlineStr">
        <is>
          <t>cfg-grs-setup</t>
        </is>
      </c>
      <c r="B9" s="2" t="inlineStr">
        <is>
          <t>GRS NONE/RING/STAR モード設定</t>
        </is>
      </c>
      <c r="C9" s="2" t="inlineStr">
        <is>
          <t>A</t>
        </is>
      </c>
      <c r="D9" s="2" t="inlineStr">
        <is>
          <t>Sysplex</t>
        </is>
      </c>
      <c r="E9" s="2" t="inlineStr">
        <is>
          <t>GRSCNF= で GRS モード変更（IPL 必要）。</t>
        </is>
      </c>
      <c r="F9" s="2" t="inlineStr">
        <is>
          <t>Sysplex 環境で全メンバ同時 IPL 計画。</t>
        </is>
      </c>
      <c r="G9" s="2" t="inlineStr">
        <is>
          <t>1. IEASYSxx の GRS= を変更
2. GRSCNFxx / GRSRNLxx 設定
3. 全 Sysplex メンバ IPL
4. D GRS で STAR 表示確認</t>
        </is>
      </c>
      <c r="H9" s="2" t="inlineStr">
        <is>
          <t>D GRS,A で MODE=STAR 表示</t>
        </is>
      </c>
      <c r="I9" s="2" t="inlineStr">
        <is>
          <t>ENQ/RESERVE 動作確認、IXC117I 等メッセージ無し</t>
        </is>
      </c>
      <c r="J9" s="2" t="inlineStr">
        <is>
          <t>IEASYSxx 元に戻し IPL（影響大、要計画）</t>
        </is>
      </c>
      <c r="K9" s="2" t="inlineStr">
        <is>
          <t>cfg-sysplex-define</t>
        </is>
      </c>
      <c r="L9" s="2" t="inlineStr">
        <is>
          <t>S_ZOS_Sysplex</t>
        </is>
      </c>
    </row>
    <row r="10">
      <c r="A10" s="2" t="inlineStr">
        <is>
          <t>cfg-wlm-policy</t>
        </is>
      </c>
      <c r="B10" s="2" t="inlineStr">
        <is>
          <t>WLM Service Policy 修正</t>
        </is>
      </c>
      <c r="C10" s="2" t="inlineStr">
        <is>
          <t>S</t>
        </is>
      </c>
      <c r="D10" s="2" t="inlineStr">
        <is>
          <t>WLM</t>
        </is>
      </c>
      <c r="E10" s="2" t="inlineStr">
        <is>
          <t>Service Class / Workload / Goal 変更。</t>
        </is>
      </c>
      <c r="F10" s="2" t="inlineStr">
        <is>
          <t>WLM 管理者権限、ISPF アクセス。</t>
        </is>
      </c>
      <c r="G10" s="2" t="inlineStr">
        <is>
          <t>1. WLM ISPF アプリ起動
2. Service Definition (SCDS) を Read
3. Service Class / Workload / Goal を変更
4. Save / Install (ACDS への反映)
5. POLICY ACTIVATE で動的反映</t>
        </is>
      </c>
      <c r="H10" s="2" t="inlineStr">
        <is>
          <t>ACTIVATE 後 D WLM,SYSTEMS で新 policy 表示</t>
        </is>
      </c>
      <c r="I10" s="2" t="inlineStr">
        <is>
          <t>RMF Monitor III で goal 達成率確認</t>
        </is>
      </c>
      <c r="J10" s="2" t="inlineStr">
        <is>
          <t>旧 policy version を再 ACTIVATE</t>
        </is>
      </c>
      <c r="K10" s="2" t="inlineStr"/>
      <c r="L10" s="2" t="inlineStr">
        <is>
          <t>S_ZOS_WLM</t>
        </is>
      </c>
    </row>
    <row r="11">
      <c r="A11" s="2" t="inlineStr">
        <is>
          <t>cfg-stc-startup</t>
        </is>
      </c>
      <c r="B11" s="2" t="inlineStr">
        <is>
          <t>Started Task の自動起動設定</t>
        </is>
      </c>
      <c r="C11" s="2" t="inlineStr">
        <is>
          <t>S</t>
        </is>
      </c>
      <c r="D11" s="2" t="inlineStr">
        <is>
          <t>PARMLIB</t>
        </is>
      </c>
      <c r="E11" s="2" t="inlineStr">
        <is>
          <t>COMMNDxx に START コマンド追加で IPL 時自動起動。</t>
        </is>
      </c>
      <c r="F11" s="2" t="inlineStr">
        <is>
          <t>PARMLIB 編集権限。</t>
        </is>
      </c>
      <c r="G11" s="2" t="inlineStr">
        <is>
          <t>1. COMMNDxx 編集、COM='S TCPIP' 等追加
2. 次回 IPL で自動実行
3. D A,L で起動確認</t>
        </is>
      </c>
      <c r="H11" s="2" t="inlineStr">
        <is>
          <t>D A,L で対象 STC が active</t>
        </is>
      </c>
      <c r="I11" s="2" t="inlineStr">
        <is>
          <t>STC 各サブシステムの動作確認</t>
        </is>
      </c>
      <c r="J11" s="2" t="inlineStr">
        <is>
          <t>COMMNDxx の該当行をコメントアウト</t>
        </is>
      </c>
      <c r="K11" s="2" t="inlineStr">
        <is>
          <t>inc-stc-hung</t>
        </is>
      </c>
      <c r="L11" s="2" t="inlineStr">
        <is>
          <t>S_ZOS_Init_Tuning</t>
        </is>
      </c>
    </row>
    <row r="12">
      <c r="A12" s="2" t="inlineStr">
        <is>
          <t>cfg-console-add</t>
        </is>
      </c>
      <c r="B12" s="2" t="inlineStr">
        <is>
          <t>Console 追加 (CONSOLxx)</t>
        </is>
      </c>
      <c r="C12" s="2" t="inlineStr">
        <is>
          <t>A</t>
        </is>
      </c>
      <c r="D12" s="2" t="inlineStr">
        <is>
          <t>PARMLIB</t>
        </is>
      </c>
      <c r="E12" s="2" t="inlineStr">
        <is>
          <t>新規 MCS / EMCS console を CONSOLxx で定義。</t>
        </is>
      </c>
      <c r="F12" s="2" t="inlineStr">
        <is>
          <t>MASTER コンソール権限。</t>
        </is>
      </c>
      <c r="G12" s="2" t="inlineStr">
        <is>
          <t>1. CONSOLxx 編集（CONSOLE NAME=..., AUTH=..., ROUTCDE=...）
2. SET CON=xx で動的反映
3. D C で表示確認</t>
        </is>
      </c>
      <c r="H12" s="2" t="inlineStr">
        <is>
          <t>D C 出力に新コンソール追加</t>
        </is>
      </c>
      <c r="I12" s="2" t="inlineStr">
        <is>
          <t>新コンソールから K オペレータコマンドテスト</t>
        </is>
      </c>
      <c r="J12" s="2" t="inlineStr">
        <is>
          <t>CONSOLxx 元に戻し SET CON</t>
        </is>
      </c>
      <c r="K12" s="2" t="inlineStr">
        <is>
          <t>inc-console-hung</t>
        </is>
      </c>
      <c r="L12" s="2" t="inlineStr">
        <is>
          <t>S_ZOS_MVS_Init</t>
        </is>
      </c>
    </row>
    <row r="13">
      <c r="A13" s="2" t="inlineStr">
        <is>
          <t>cfg-clpa-ipl</t>
        </is>
      </c>
      <c r="B13" s="2" t="inlineStr">
        <is>
          <t>CLPA IPL でLPA 再構築</t>
        </is>
      </c>
      <c r="C13" s="2" t="inlineStr">
        <is>
          <t>A</t>
        </is>
      </c>
      <c r="D13" s="2" t="inlineStr">
        <is>
          <t>PARMLIB</t>
        </is>
      </c>
      <c r="E13" s="2" t="inlineStr">
        <is>
          <t>LPALIB 変更後の LPA 再構築。</t>
        </is>
      </c>
      <c r="F13" s="2" t="inlineStr">
        <is>
          <t>計画停止時間（IPL 必須）。</t>
        </is>
      </c>
      <c r="G13" s="2" t="inlineStr">
        <is>
          <t>1. LPALSTxx を確認
2. IPL 時に LOAD パラメータで CLPA 指定
3. IPL 完了後 D LPA で確認</t>
        </is>
      </c>
      <c r="H13" s="2" t="inlineStr">
        <is>
          <t>D LPA で新モジュール表示</t>
        </is>
      </c>
      <c r="I13" s="2" t="inlineStr">
        <is>
          <t>アプリケーションから LPA モジュール呼び出し動作確認</t>
        </is>
      </c>
      <c r="J13" s="2" t="inlineStr">
        <is>
          <t>次回 IPL で CLPA 抜きで起動</t>
        </is>
      </c>
      <c r="K13" s="2" t="inlineStr">
        <is>
          <t>cfg-parmlib-update</t>
        </is>
      </c>
      <c r="L13" s="2" t="inlineStr">
        <is>
          <t>S_ZOS_Init_Tuning</t>
        </is>
      </c>
    </row>
    <row r="14">
      <c r="A14" s="2" t="inlineStr">
        <is>
          <t>cfg-apf-add</t>
        </is>
      </c>
      <c r="B14" s="2" t="inlineStr">
        <is>
          <t>APF authorized library 追加</t>
        </is>
      </c>
      <c r="C14" s="2" t="inlineStr">
        <is>
          <t>A</t>
        </is>
      </c>
      <c r="D14" s="2" t="inlineStr">
        <is>
          <t>PARMLIB</t>
        </is>
      </c>
      <c r="E14" s="2" t="inlineStr">
        <is>
          <t>PROGxx で APF 認可ライブラリ追加。</t>
        </is>
      </c>
      <c r="F14" s="2" t="inlineStr">
        <is>
          <t>PARMLIB 編集、ライブラリへのアクセス権。</t>
        </is>
      </c>
      <c r="G14" s="2" t="inlineStr">
        <is>
          <t>1. PROGxx に APF ADD DSNAME(&lt;lib&gt;) VOLUME(&lt;vol&gt;) 追加
2. SET PROG=xx で動的反映
3. D PROG,APF で確認</t>
        </is>
      </c>
      <c r="H14" s="2" t="inlineStr">
        <is>
          <t>D PROG,APF 出力に追加ライブラリ表示</t>
        </is>
      </c>
      <c r="I14" s="2" t="inlineStr">
        <is>
          <t>対象 APF authorized program 実行テスト</t>
        </is>
      </c>
      <c r="J14" s="2" t="inlineStr">
        <is>
          <t>SETPROG APF DELETE 等で削除</t>
        </is>
      </c>
      <c r="K14" s="2" t="inlineStr">
        <is>
          <t>cfg-parmlib-update</t>
        </is>
      </c>
      <c r="L14" s="2" t="inlineStr">
        <is>
          <t>S_ZOS_Init_Tuning</t>
        </is>
      </c>
    </row>
    <row r="15">
      <c r="A15" s="2" t="inlineStr">
        <is>
          <t>cfg-jes2-nje</t>
        </is>
      </c>
      <c r="B15" s="2" t="inlineStr">
        <is>
          <t>JES2 NJE ノード追加</t>
        </is>
      </c>
      <c r="C15" s="2" t="inlineStr">
        <is>
          <t>B</t>
        </is>
      </c>
      <c r="D15" s="2" t="inlineStr">
        <is>
          <t>JES2</t>
        </is>
      </c>
      <c r="E15" s="2" t="inlineStr">
        <is>
          <t>他システムへのジョブ転送ルート定義。</t>
        </is>
      </c>
      <c r="F15" s="2" t="inlineStr">
        <is>
          <t>JES2 設定権限、対向ノード情報。</t>
        </is>
      </c>
      <c r="G15" s="2" t="inlineStr">
        <is>
          <t>1. JES2 INITDECK で NODE / NETSRV / LINE 定義
2. JES2 cold/warm start
3. $D NODE で表示確認</t>
        </is>
      </c>
      <c r="H15" s="2" t="inlineStr">
        <is>
          <t>$D NODE 出力に新ノード表示</t>
        </is>
      </c>
      <c r="I15" s="2" t="inlineStr">
        <is>
          <t>/*ROUTE XEQ &lt;node&gt; でテストジョブ転送</t>
        </is>
      </c>
      <c r="J15" s="2" t="inlineStr">
        <is>
          <t>INITDECK 元に戻し JES2 再起動</t>
        </is>
      </c>
      <c r="K15" s="2" t="inlineStr"/>
      <c r="L15" s="2" t="inlineStr">
        <is>
          <t>S_ZOS_JES2</t>
        </is>
      </c>
    </row>
    <row r="16">
      <c r="A16" s="2" t="inlineStr">
        <is>
          <t>cfg-tso-logon</t>
        </is>
      </c>
      <c r="B16" s="2" t="inlineStr">
        <is>
          <t>TSO LOGON PROC 設定</t>
        </is>
      </c>
      <c r="C16" s="2" t="inlineStr">
        <is>
          <t>B</t>
        </is>
      </c>
      <c r="D16" s="2" t="inlineStr">
        <is>
          <t>TSO/E</t>
        </is>
      </c>
      <c r="E16" s="2" t="inlineStr">
        <is>
          <t>新規ユーザの LOGON PROC 設定。</t>
        </is>
      </c>
      <c r="F16" s="2" t="inlineStr">
        <is>
          <t>RACF TSOPROC 権限。</t>
        </is>
      </c>
      <c r="G16" s="2" t="inlineStr">
        <is>
          <t>1. PROCLIB に LOGON PROC member 配置
2. RACF ADDUSER または ALTUSER で TSO セグメントに PROC 指定
3. LOGON でテスト</t>
        </is>
      </c>
      <c r="H16" s="2" t="inlineStr">
        <is>
          <t>LOGON 後 ISPF 起動</t>
        </is>
      </c>
      <c r="I16" s="2" t="inlineStr">
        <is>
          <t>ユーザのテストログオン</t>
        </is>
      </c>
      <c r="J16" s="2" t="inlineStr">
        <is>
          <t>ALTUSER で旧 PROC 戻し</t>
        </is>
      </c>
      <c r="K16" s="2" t="inlineStr"/>
      <c r="L16" s="2" t="inlineStr">
        <is>
          <t>S_ZOS_TSO</t>
        </is>
      </c>
    </row>
    <row r="17">
      <c r="A17" s="2" t="inlineStr">
        <is>
          <t>cfg-dataset-mgmt</t>
        </is>
      </c>
      <c r="B17" s="2" t="inlineStr">
        <is>
          <t>VSAM cluster の作成</t>
        </is>
      </c>
      <c r="C17" s="2" t="inlineStr">
        <is>
          <t>B</t>
        </is>
      </c>
      <c r="D17" s="2" t="inlineStr">
        <is>
          <t>DFSMS</t>
        </is>
      </c>
      <c r="E17" s="2" t="inlineStr">
        <is>
          <t>IDCAMS DEFINE で VSAM データセット作成。</t>
        </is>
      </c>
      <c r="F17" s="2" t="inlineStr">
        <is>
          <t>Catalog 権限、Volume 容量。</t>
        </is>
      </c>
      <c r="G17" s="2" t="inlineStr">
        <is>
          <t>1. JCL に IDCAMS step
2. DEFINE CLUSTER NAME(&lt;dsn&gt;) ... INDEXED ...
3. SUBMIT
4. LISTC で確認</t>
        </is>
      </c>
      <c r="H17" s="2" t="inlineStr">
        <is>
          <t>LISTC ENTRIES('&lt;dsn&gt;') で構造表示</t>
        </is>
      </c>
      <c r="I17" s="2" t="inlineStr">
        <is>
          <t>REPRO INFILE/OUTFILE でデータ書き込みテスト</t>
        </is>
      </c>
      <c r="J17" s="2" t="inlineStr">
        <is>
          <t>DELETE CLUSTER NAME('&lt;dsn&gt;')</t>
        </is>
      </c>
      <c r="K17" s="2" t="inlineStr"/>
      <c r="L17" s="2" t="inlineStr">
        <is>
          <t>S_ZOS_DFSMS</t>
        </is>
      </c>
    </row>
    <row r="18">
      <c r="A18" s="2" t="inlineStr">
        <is>
          <t>cfg-sms-class</t>
        </is>
      </c>
      <c r="B18" s="2" t="inlineStr">
        <is>
          <t>SMS Storage Class / Data Class 追加</t>
        </is>
      </c>
      <c r="C18" s="2" t="inlineStr">
        <is>
          <t>B</t>
        </is>
      </c>
      <c r="D18" s="2" t="inlineStr">
        <is>
          <t>DFSMS</t>
        </is>
      </c>
      <c r="E18" s="2" t="inlineStr">
        <is>
          <t>ISMF で SMS Class 新規追加と ACS routine 修正。</t>
        </is>
      </c>
      <c r="F18" s="2" t="inlineStr">
        <is>
          <t>ISMF アクセス、SMS 管理者権限。</t>
        </is>
      </c>
      <c r="G18" s="2" t="inlineStr">
        <is>
          <t>1. ISMF メニュー → Storage Class 定義
2. ACS routine（Storage Class）に新クラスへの分類追加
3. SCDS validate / activate
4. D SMS で確認</t>
        </is>
      </c>
      <c r="H18" s="2" t="inlineStr">
        <is>
          <t>D SMS,STORCLAS で新クラス表示</t>
        </is>
      </c>
      <c r="I18" s="2" t="inlineStr">
        <is>
          <t>新規データセット allocate でクラス割当て確認</t>
        </is>
      </c>
      <c r="J18" s="2" t="inlineStr">
        <is>
          <t>ACS routine 戻し、SCDS 旧 version activate</t>
        </is>
      </c>
      <c r="K18" s="2" t="inlineStr"/>
      <c r="L18" s="2" t="inlineStr">
        <is>
          <t>S_ZOS_DFSMS</t>
        </is>
      </c>
    </row>
    <row r="19">
      <c r="A19" s="2" t="inlineStr">
        <is>
          <t>cfg-rexx-script</t>
        </is>
      </c>
      <c r="B19" s="2" t="inlineStr">
        <is>
          <t>REXX スクリプト配置・実行</t>
        </is>
      </c>
      <c r="C19" s="2" t="inlineStr">
        <is>
          <t>C</t>
        </is>
      </c>
      <c r="D19" s="2" t="inlineStr">
        <is>
          <t>TSO/E</t>
        </is>
      </c>
      <c r="E19" s="2" t="inlineStr">
        <is>
          <t>TSO/E REXX スクリプトを SYSEXEC 経由で実行可能にする。</t>
        </is>
      </c>
      <c r="F19" s="2" t="inlineStr">
        <is>
          <t>PDS 配置先への権限。</t>
        </is>
      </c>
      <c r="G19" s="2" t="inlineStr">
        <is>
          <t>1. PDS member に REXX 記述
2. ALTLIB ACTIVATE APPLICATION(EXEC) DSNAME('USER01.REXX')
3. % で呼び出し</t>
        </is>
      </c>
      <c r="H19" s="2" t="inlineStr">
        <is>
          <t>% で REXX 実行</t>
        </is>
      </c>
      <c r="I19" s="2" t="inlineStr">
        <is>
          <t>REXX 出力確認</t>
        </is>
      </c>
      <c r="J19" s="2" t="inlineStr">
        <is>
          <t>ALTLIB DEACTIVATE</t>
        </is>
      </c>
      <c r="K19" s="2" t="inlineStr"/>
      <c r="L19" s="2" t="inlineStr">
        <is>
          <t>S_ZOS_TSO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5" customWidth="1" min="2" max="2"/>
    <col width="8" customWidth="1" min="3" max="3"/>
    <col width="14" customWidth="1" min="4" max="4"/>
    <col width="30" customWidth="1" min="5" max="5"/>
    <col width="25" customWidth="1" min="6" max="6"/>
    <col width="50" customWidth="1" min="7" max="7"/>
    <col width="30" customWidth="1" min="8" max="8"/>
    <col width="30" customWidth="1" min="9" max="9"/>
    <col width="25" customWidth="1" min="10" max="10"/>
    <col width="25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タイトル</t>
        </is>
      </c>
      <c r="C1" s="1" t="inlineStr">
        <is>
          <t>重要度</t>
        </is>
      </c>
      <c r="D1" s="1" t="inlineStr">
        <is>
          <t>用途</t>
        </is>
      </c>
      <c r="E1" s="1" t="inlineStr">
        <is>
          <t>目的</t>
        </is>
      </c>
      <c r="F1" s="1" t="inlineStr">
        <is>
          <t>前提</t>
        </is>
      </c>
      <c r="G1" s="1" t="inlineStr">
        <is>
          <t>手順</t>
        </is>
      </c>
      <c r="H1" s="1" t="inlineStr">
        <is>
          <t>期待出力</t>
        </is>
      </c>
      <c r="I1" s="1" t="inlineStr">
        <is>
          <t>検証</t>
        </is>
      </c>
      <c r="J1" s="1" t="inlineStr">
        <is>
          <t>ロールバック</t>
        </is>
      </c>
      <c r="K1" s="1" t="inlineStr">
        <is>
          <t>関連</t>
        </is>
      </c>
      <c r="L1" s="1" t="inlineStr">
        <is>
          <t>出典</t>
        </is>
      </c>
    </row>
    <row r="2">
      <c r="A2" s="2" t="inlineStr">
        <is>
          <t>inc-ipl-fail</t>
        </is>
      </c>
      <c r="B2" s="2" t="inlineStr">
        <is>
          <t>IPL 失敗・hang</t>
        </is>
      </c>
      <c r="C2" s="2" t="inlineStr">
        <is>
          <t>S</t>
        </is>
      </c>
      <c r="D2" s="2" t="inlineStr">
        <is>
          <t>起動停止</t>
        </is>
      </c>
      <c r="E2" s="2" t="inlineStr">
        <is>
          <t>z/OS が IPL 中で進まない、または NIP で停止する場合の切り分け。</t>
        </is>
      </c>
      <c r="F2" s="2" t="inlineStr">
        <is>
          <t>HMC アクセス、別 LOADxx での IPL 計画。</t>
        </is>
      </c>
      <c r="G2" s="2" t="inlineStr">
        <is>
          <t>1. HMC コンソールで NIP メッセージ記録
2. WTOR があれば適切に応答（R 0, NORESEXIT 等）
3. 進まなければ別 LOADxx で IPL
4. 別 IODF で IPL
5. mksysb 相当の Stand-Alone Restore 検討</t>
        </is>
      </c>
      <c r="H2" s="2" t="inlineStr">
        <is>
          <t>NIP 完了、サブシステム起動完了</t>
        </is>
      </c>
      <c r="I2" s="2" t="inlineStr">
        <is>
          <t>D IPLINFO で状態、D A,L で全 STC active</t>
        </is>
      </c>
      <c r="J2" s="2" t="inlineStr">
        <is>
          <t>事前バックアップ済 PARMLIB から復元</t>
        </is>
      </c>
      <c r="K2" s="2" t="inlineStr">
        <is>
          <t>cfg-parmlib-update</t>
        </is>
      </c>
      <c r="L2" s="2" t="inlineStr">
        <is>
          <t>S_ZOS_MVS_Init</t>
        </is>
      </c>
    </row>
    <row r="3">
      <c r="A3" s="2" t="inlineStr">
        <is>
          <t>inc-system-hung</t>
        </is>
      </c>
      <c r="B3" s="2" t="inlineStr">
        <is>
          <t>システム hung（応答なし）</t>
        </is>
      </c>
      <c r="C3" s="2" t="inlineStr">
        <is>
          <t>S</t>
        </is>
      </c>
      <c r="D3" s="2" t="inlineStr">
        <is>
          <t>起動停止</t>
        </is>
      </c>
      <c r="E3" s="2" t="inlineStr">
        <is>
          <t>z/OS 全体応答なし、コンソール反応なしの対応。</t>
        </is>
      </c>
      <c r="F3" s="2" t="inlineStr">
        <is>
          <t>HMC アクセス。</t>
        </is>
      </c>
      <c r="G3" s="2" t="inlineStr">
        <is>
          <t>1. HMC で SVC dump 取得（SYSTEM RESET → SADUMP）
2. SVC dump を IPCS で解析
3. 強制再 IPL
4. dump を IBM サポート提供</t>
        </is>
      </c>
      <c r="H3" s="2" t="inlineStr">
        <is>
          <t>再 IPL 後システム回復</t>
        </is>
      </c>
      <c r="I3" s="2" t="inlineStr">
        <is>
          <t>D A,L で正常状態、エラー再発なし</t>
        </is>
      </c>
      <c r="J3" s="2" t="inlineStr">
        <is>
          <t>（hang は復旧手段、rollback なし）</t>
        </is>
      </c>
      <c r="K3" s="2" t="inlineStr">
        <is>
          <t>inc-paging-shortage</t>
        </is>
      </c>
      <c r="L3" s="2" t="inlineStr">
        <is>
          <t>S_ZOS_Diag</t>
        </is>
      </c>
    </row>
    <row r="4">
      <c r="A4" s="2" t="inlineStr">
        <is>
          <t>inc-wtor-response</t>
        </is>
      </c>
      <c r="B4" s="2" t="inlineStr">
        <is>
          <t>WTOR 大量蓄積対応</t>
        </is>
      </c>
      <c r="C4" s="2" t="inlineStr">
        <is>
          <t>S</t>
        </is>
      </c>
      <c r="D4" s="2" t="inlineStr">
        <is>
          <t>起動停止</t>
        </is>
      </c>
      <c r="E4" s="2" t="inlineStr">
        <is>
          <t>未応答 WTOR が多数蓄積した状態の整理。</t>
        </is>
      </c>
      <c r="F4" s="2" t="inlineStr">
        <is>
          <t>MASTER コンソール権限。</t>
        </is>
      </c>
      <c r="G4" s="2" t="inlineStr">
        <is>
          <t>1. D R,L で全 WTOR 表示
2. 各 ID のメッセージ意味を IBM Docs 参照
3. 適切な reply (R &lt;id&gt;,&lt;reply&gt;)
4. D R で残数確認</t>
        </is>
      </c>
      <c r="H4" s="2" t="inlineStr">
        <is>
          <t>D R,L で WTOR 数 0</t>
        </is>
      </c>
      <c r="I4" s="2" t="inlineStr">
        <is>
          <t>システムが進む、D A,L で active 増加</t>
        </is>
      </c>
      <c r="J4" s="2" t="inlineStr">
        <is>
          <t>（応答済 WTOR は復元不可）</t>
        </is>
      </c>
      <c r="K4" s="2" t="inlineStr"/>
      <c r="L4" s="2" t="inlineStr">
        <is>
          <t>S_ZOS_MVS_Cmds</t>
        </is>
      </c>
    </row>
    <row r="5">
      <c r="A5" s="2" t="inlineStr">
        <is>
          <t>inc-jes2-spool-full</t>
        </is>
      </c>
      <c r="B5" s="2" t="inlineStr">
        <is>
          <t>JES2 SPOOL 95% SHORT 対応</t>
        </is>
      </c>
      <c r="C5" s="2" t="inlineStr">
        <is>
          <t>S</t>
        </is>
      </c>
      <c r="D5" s="2" t="inlineStr">
        <is>
          <t>JES2</t>
        </is>
      </c>
      <c r="E5" s="2" t="inlineStr">
        <is>
          <t>$HASP050 SHORT ON SPOOL SPACE 発生時の対応。</t>
        </is>
      </c>
      <c r="F5" s="2" t="inlineStr">
        <is>
          <t>JES2 オペレータ権限。</t>
        </is>
      </c>
      <c r="G5" s="2" t="inlineStr">
        <is>
          <t>1. $D Q で使用率確認
2. SDSF ST → 完了済ジョブを P でパージ
3. SDSF H → HARDCOPY を P
4. それでも不足なら $T SPOOL ADD で新規 volume 追加
5. $D Q で改善確認</t>
        </is>
      </c>
      <c r="H5" s="2" t="inlineStr">
        <is>
          <t>使用率 80% 以下に低下</t>
        </is>
      </c>
      <c r="I5" s="2" t="inlineStr">
        <is>
          <t>$HASP050 メッセージ消失、新規ジョブ受付可能</t>
        </is>
      </c>
      <c r="J5" s="2" t="inlineStr">
        <is>
          <t>（パージ済ジョブは復元不可、SPOOL 追加のみ rollback 可）</t>
        </is>
      </c>
      <c r="K5" s="2" t="inlineStr">
        <is>
          <t>cfg-jes2-init</t>
        </is>
      </c>
      <c r="L5" s="2" t="inlineStr">
        <is>
          <t>S_ZOS_JES2</t>
        </is>
      </c>
    </row>
    <row r="6">
      <c r="A6" s="2" t="inlineStr">
        <is>
          <t>inc-job-abend</t>
        </is>
      </c>
      <c r="B6" s="2" t="inlineStr">
        <is>
          <t>ジョブ ABEND 解析</t>
        </is>
      </c>
      <c r="C6" s="2" t="inlineStr">
        <is>
          <t>S</t>
        </is>
      </c>
      <c r="D6" s="2" t="inlineStr">
        <is>
          <t>ジョブ</t>
        </is>
      </c>
      <c r="E6" s="2" t="inlineStr">
        <is>
          <t>S0C4/S0C7/S322/B37 等の ABEND 原因解析。</t>
        </is>
      </c>
      <c r="F6" s="2" t="inlineStr">
        <is>
          <t>SDSF アクセス、IPCS 権限。</t>
        </is>
      </c>
      <c r="G6" s="2" t="inlineStr">
        <is>
          <t>1. SDSF ST → S でジョブ詳細表示
2. JESJCL/JESYSMSG/SYSOUT で ABEND コードと位置確認
3. SVC dump があれば IPCS で解析
4. 原因に応じて JCL or アプリ修正
5. $E で再実行</t>
        </is>
      </c>
      <c r="H6" s="2" t="inlineStr">
        <is>
          <t>再実行で正常終了</t>
        </is>
      </c>
      <c r="I6" s="2" t="inlineStr">
        <is>
          <t>RC=0 または期待 RC、SYSOUT で出力確認</t>
        </is>
      </c>
      <c r="J6" s="2" t="inlineStr">
        <is>
          <t>（ABEND の rollback は再実行）</t>
        </is>
      </c>
      <c r="K6" s="2" t="inlineStr">
        <is>
          <t>inc-vsam-open-fail</t>
        </is>
      </c>
      <c r="L6" s="2" t="inlineStr">
        <is>
          <t>S_ZOS_Diag</t>
        </is>
      </c>
    </row>
    <row r="7">
      <c r="A7" s="2" t="inlineStr">
        <is>
          <t>inc-paging-shortage</t>
        </is>
      </c>
      <c r="B7" s="2" t="inlineStr">
        <is>
          <t>ページング枯渇 (ILR005E)</t>
        </is>
      </c>
      <c r="C7" s="2" t="inlineStr">
        <is>
          <t>S</t>
        </is>
      </c>
      <c r="D7" s="2" t="inlineStr">
        <is>
          <t>性能</t>
        </is>
      </c>
      <c r="E7" s="2" t="inlineStr">
        <is>
          <t>PLPA/COMMON/LOCAL ページデータセット使用率超過対応。</t>
        </is>
      </c>
      <c r="F7" s="2" t="inlineStr">
        <is>
          <t>ASM 操作権限。</t>
        </is>
      </c>
      <c r="G7" s="2" t="inlineStr">
        <is>
          <t>1. D ASM で各タイプ使用率確認
2. PAGEADD で動的に追加 (LOCAL のみ)
3. 不要 STC を P で停止
4. システムワーキングセット見直し</t>
        </is>
      </c>
      <c r="H7" s="2" t="inlineStr">
        <is>
          <t>D ASM で使用率低下</t>
        </is>
      </c>
      <c r="I7" s="2" t="inlineStr">
        <is>
          <t>ILR005E メッセージ消失、新規アドレス空間起動可能</t>
        </is>
      </c>
      <c r="J7" s="2" t="inlineStr">
        <is>
          <t>PAGEADD は PAGEDEL で取り外し可能</t>
        </is>
      </c>
      <c r="K7" s="2" t="inlineStr">
        <is>
          <t>inc-system-hung</t>
        </is>
      </c>
      <c r="L7" s="2" t="inlineStr">
        <is>
          <t>S_ZOS_Init_Tuning</t>
        </is>
      </c>
    </row>
    <row r="8">
      <c r="A8" s="2" t="inlineStr">
        <is>
          <t>inc-racf-access-denied</t>
        </is>
      </c>
      <c r="B8" s="2" t="inlineStr">
        <is>
          <t>RACF アクセス拒否 (ICH408I)</t>
        </is>
      </c>
      <c r="C8" s="2" t="inlineStr">
        <is>
          <t>S</t>
        </is>
      </c>
      <c r="D8" s="2" t="inlineStr">
        <is>
          <t>セキュリティ</t>
        </is>
      </c>
      <c r="E8" s="2" t="inlineStr">
        <is>
          <t>RACF でアクセス拒否された場合の権限調整。</t>
        </is>
      </c>
      <c r="F8" s="2" t="inlineStr">
        <is>
          <t>RACF SPECIAL or class authority。</t>
        </is>
      </c>
      <c r="G8" s="2" t="inlineStr">
        <is>
          <t>1. ICH408I メッセージで対象リソース・ユーザ確認
2. RLIST &lt;class&gt; '&lt;profile&gt;' AUTHUSER で現状確認
3. 必要なら PERMIT で権限付与
4. SETROPTS REFRESH（class が GENERIC 等の場合）
5. 再アクセステスト</t>
        </is>
      </c>
      <c r="H8" s="2" t="inlineStr">
        <is>
          <t>ユーザがアクセス成功</t>
        </is>
      </c>
      <c r="I8" s="2" t="inlineStr">
        <is>
          <t>ICH408I 再発なし</t>
        </is>
      </c>
      <c r="J8" s="2" t="inlineStr">
        <is>
          <t>PERMIT ... DELETE で取り消し</t>
        </is>
      </c>
      <c r="K8" s="2" t="inlineStr">
        <is>
          <t>cfg-racf-permit</t>
        </is>
      </c>
      <c r="L8" s="2" t="inlineStr">
        <is>
          <t>S_ZOS_RACF</t>
        </is>
      </c>
    </row>
    <row r="9">
      <c r="A9" s="2" t="inlineStr">
        <is>
          <t>inc-smf-collect-fail</t>
        </is>
      </c>
      <c r="B9" s="2" t="inlineStr">
        <is>
          <t>SMF レコード取得失敗</t>
        </is>
      </c>
      <c r="C9" s="2" t="inlineStr">
        <is>
          <t>A</t>
        </is>
      </c>
      <c r="D9" s="2" t="inlineStr">
        <is>
          <t>ログ監査</t>
        </is>
      </c>
      <c r="E9" s="2" t="inlineStr">
        <is>
          <t>SMF データセット FULL や TYPE 漏れで取得不全の対応。</t>
        </is>
      </c>
      <c r="F9" s="2" t="inlineStr">
        <is>
          <t>SMF 操作権限。</t>
        </is>
      </c>
      <c r="G9" s="2" t="inlineStr">
        <is>
          <t>1. D SMF で現状確認
2. SYS1.MAN1/2/3 が FULL なら SWITCH SMF で次データセットへ
3. IFASMFDP でフルデータセットを history へ
4. SETSMF TYPE(...) で TYPE 追加</t>
        </is>
      </c>
      <c r="H9" s="2" t="inlineStr">
        <is>
          <t>D SMF で正常状態、新レコード書き込み開始</t>
        </is>
      </c>
      <c r="I9" s="2" t="inlineStr">
        <is>
          <t>IFASMFDP で新レコード抽出確認</t>
        </is>
      </c>
      <c r="J9" s="2" t="inlineStr">
        <is>
          <t>SMFPRMxx 元に戻し SET SMF</t>
        </is>
      </c>
      <c r="K9" s="2" t="inlineStr">
        <is>
          <t>cfg-smf-collect</t>
        </is>
      </c>
      <c r="L9" s="2" t="inlineStr">
        <is>
          <t>S_ZOS_SMF</t>
        </is>
      </c>
    </row>
    <row r="10">
      <c r="A10" s="2" t="inlineStr">
        <is>
          <t>inc-sysplex-split</t>
        </is>
      </c>
      <c r="B10" s="2" t="inlineStr">
        <is>
          <t>Sysplex 分断 (XCF 通信断)</t>
        </is>
      </c>
      <c r="C10" s="2" t="inlineStr">
        <is>
          <t>S</t>
        </is>
      </c>
      <c r="D10" s="2" t="inlineStr">
        <is>
          <t>Sysplex</t>
        </is>
      </c>
      <c r="E10" s="2" t="inlineStr">
        <is>
          <t>Sysplex メンバ間の通信断の対応。</t>
        </is>
      </c>
      <c r="F10" s="2" t="inlineStr">
        <is>
          <t>Sysplex 全体構成把握、SFM Policy。</t>
        </is>
      </c>
      <c r="G10" s="2" t="inlineStr">
        <is>
          <t>1. D XCF,COUPLE で各 CDS 状態
2. D XCF,GROUP / D XCF,POLICY で構成確認
3. SFM Policy が active なら自動隔離
4. 手動で SETXCF FORCE でメンバ切り離し
5. 復旧後 SETXCF START で再参加</t>
        </is>
      </c>
      <c r="H10" s="2" t="inlineStr">
        <is>
          <t>D XCF で全メンバ ACTIVE</t>
        </is>
      </c>
      <c r="I10" s="2" t="inlineStr">
        <is>
          <t>Sysplex 全体動作確認</t>
        </is>
      </c>
      <c r="J10" s="2" t="inlineStr">
        <is>
          <t>（自動回復、rollback なし）</t>
        </is>
      </c>
      <c r="K10" s="2" t="inlineStr">
        <is>
          <t>cfg-sysplex-define</t>
        </is>
      </c>
      <c r="L10" s="2" t="inlineStr">
        <is>
          <t>S_ZOS_Sysplex</t>
        </is>
      </c>
    </row>
    <row r="11">
      <c r="A11" s="2" t="inlineStr">
        <is>
          <t>inc-tcpip-down</t>
        </is>
      </c>
      <c r="B11" s="2" t="inlineStr">
        <is>
          <t>TCP/IP 通信不能</t>
        </is>
      </c>
      <c r="C11" s="2" t="inlineStr">
        <is>
          <t>S</t>
        </is>
      </c>
      <c r="D11" s="2" t="inlineStr">
        <is>
          <t>ネットワーク</t>
        </is>
      </c>
      <c r="E11" s="2" t="inlineStr">
        <is>
          <t>TCPIP STC 異常で外部通信できない場合の対応。</t>
        </is>
      </c>
      <c r="F11" s="2" t="inlineStr">
        <is>
          <t>TCPIP / NETSTAT 権限。</t>
        </is>
      </c>
      <c r="G11" s="2" t="inlineStr">
        <is>
          <t>1. D A,L で TCPIP STC 状態確認
2. NETSTAT HOME / NETSTAT DEV で IP/インターフェース確認
3. PROFILE.TCPIP の最新化確認
4. TCPIP STC を P → S で再起動
5. ping で疎通確認</t>
        </is>
      </c>
      <c r="H11" s="2" t="inlineStr">
        <is>
          <t>ping 成功、NETSTAT 正常</t>
        </is>
      </c>
      <c r="I11" s="2" t="inlineStr">
        <is>
          <t>外部システムからの接続テスト</t>
        </is>
      </c>
      <c r="J11" s="2" t="inlineStr">
        <is>
          <t>PROFILE.TCPIP を旧版に戻し再起動</t>
        </is>
      </c>
      <c r="K11" s="2" t="inlineStr">
        <is>
          <t>cfg-tcpip-profile</t>
        </is>
      </c>
      <c r="L11" s="2" t="inlineStr">
        <is>
          <t>S_ZOS_CommServer</t>
        </is>
      </c>
    </row>
    <row r="12">
      <c r="A12" s="2" t="inlineStr">
        <is>
          <t>inc-uss-fs-full</t>
        </is>
      </c>
      <c r="B12" s="2" t="inlineStr">
        <is>
          <t>USS ファイルシステム満杯</t>
        </is>
      </c>
      <c r="C12" s="2" t="inlineStr">
        <is>
          <t>S</t>
        </is>
      </c>
      <c r="D12" s="2" t="inlineStr">
        <is>
          <t>USS</t>
        </is>
      </c>
      <c r="E12" s="2" t="inlineStr">
        <is>
          <t>zFS aggregate 満杯時の対応。</t>
        </is>
      </c>
      <c r="F12" s="2" t="inlineStr">
        <is>
          <t>BPXPRMxx 権限、zFS 管理権限。</t>
        </is>
      </c>
      <c r="G12" s="2" t="inlineStr">
        <is>
          <t>1. df -k で対象 FS 確認
2. 不要ファイル削除
3. zfsadm grow で拡張
4. df -k で確認</t>
        </is>
      </c>
      <c r="H12" s="2" t="inlineStr">
        <is>
          <t>df -k で空き容量回復</t>
        </is>
      </c>
      <c r="I12" s="2" t="inlineStr">
        <is>
          <t>ファイル書き込みテスト</t>
        </is>
      </c>
      <c r="J12" s="2" t="inlineStr">
        <is>
          <t>zfsadm shrink（縮小）</t>
        </is>
      </c>
      <c r="K12" s="2" t="inlineStr">
        <is>
          <t>cfg-uss-fs</t>
        </is>
      </c>
      <c r="L12" s="2" t="inlineStr">
        <is>
          <t>S_ZOS_USS</t>
        </is>
      </c>
    </row>
    <row r="13">
      <c r="A13" s="2" t="inlineStr">
        <is>
          <t>inc-stc-hung</t>
        </is>
      </c>
      <c r="B13" s="2" t="inlineStr">
        <is>
          <t>STC hung</t>
        </is>
      </c>
      <c r="C13" s="2" t="inlineStr">
        <is>
          <t>S</t>
        </is>
      </c>
      <c r="D13" s="2" t="inlineStr">
        <is>
          <t>起動停止</t>
        </is>
      </c>
      <c r="E13" s="2" t="inlineStr">
        <is>
          <t>Started Task が応答なくなった場合の対応。</t>
        </is>
      </c>
      <c r="F13" s="2" t="inlineStr">
        <is>
          <t>MASTER コンソール権限、DUMP 取得権限。</t>
        </is>
      </c>
      <c r="G13" s="2" t="inlineStr">
        <is>
          <t>1. SDSF DA → S でジョブ詳細
2. DUMP COMM=(&lt;text&gt;),JOBNAME=&lt;jobname&gt; で SVC dump
3. P &lt;jobname&gt; で正常停止試行
4. 効かなければ C &lt;jobname&gt;
5. dump を IPCS で解析</t>
        </is>
      </c>
      <c r="H13" s="2" t="inlineStr">
        <is>
          <t>STC が停止、再起動可能</t>
        </is>
      </c>
      <c r="I13" s="2" t="inlineStr">
        <is>
          <t>S &lt;procname&gt; で正常起動</t>
        </is>
      </c>
      <c r="J13" s="2" t="inlineStr">
        <is>
          <t>（hung の rollback はない）</t>
        </is>
      </c>
      <c r="K13" s="2" t="inlineStr">
        <is>
          <t>inc-system-hung</t>
        </is>
      </c>
      <c r="L13" s="2" t="inlineStr">
        <is>
          <t>S_ZOS_Diag</t>
        </is>
      </c>
    </row>
    <row r="14">
      <c r="A14" s="2" t="inlineStr">
        <is>
          <t>inc-vsam-open-fail</t>
        </is>
      </c>
      <c r="B14" s="2" t="inlineStr">
        <is>
          <t>VSAM open エラー (IDC3009I)</t>
        </is>
      </c>
      <c r="C14" s="2" t="inlineStr">
        <is>
          <t>A</t>
        </is>
      </c>
      <c r="D14" s="2" t="inlineStr">
        <is>
          <t>DFSMS</t>
        </is>
      </c>
      <c r="E14" s="2" t="inlineStr">
        <is>
          <t>VSAM cluster open 失敗の原因切り分け。</t>
        </is>
      </c>
      <c r="F14" s="2" t="inlineStr">
        <is>
          <t>Catalog/VSAM 操作権限。</t>
        </is>
      </c>
      <c r="G14" s="2" t="inlineStr">
        <is>
          <t>1. メッセージ ID で原因確認（return/reason code）
2. LISTC LEVEL(&lt;dsn&gt;) で構造確認
3. EXAMINE で整合性チェック
4. REPRO で再作成、または ALTER で属性修正</t>
        </is>
      </c>
      <c r="H14" s="2" t="inlineStr">
        <is>
          <t>open 成功</t>
        </is>
      </c>
      <c r="I14" s="2" t="inlineStr">
        <is>
          <t>アプリから読み書きテスト</t>
        </is>
      </c>
      <c r="J14" s="2" t="inlineStr">
        <is>
          <t>バックアップから restore</t>
        </is>
      </c>
      <c r="K14" s="2" t="inlineStr">
        <is>
          <t>inc-job-abend</t>
        </is>
      </c>
      <c r="L14" s="2" t="inlineStr">
        <is>
          <t>S_ZOS_DFSMS</t>
        </is>
      </c>
    </row>
    <row r="15">
      <c r="A15" s="2" t="inlineStr">
        <is>
          <t>inc-syslog-investigation</t>
        </is>
      </c>
      <c r="B15" s="2" t="inlineStr">
        <is>
          <t>SYSLOG/OPERLOG 調査</t>
        </is>
      </c>
      <c r="C15" s="2" t="inlineStr">
        <is>
          <t>A</t>
        </is>
      </c>
      <c r="D15" s="2" t="inlineStr">
        <is>
          <t>ログ監査</t>
        </is>
      </c>
      <c r="E15" s="2" t="inlineStr">
        <is>
          <t>システムメッセージから障害原因特定。</t>
        </is>
      </c>
      <c r="F15" s="2" t="inlineStr">
        <is>
          <t>SDSF アクセス。</t>
        </is>
      </c>
      <c r="G15" s="2" t="inlineStr">
        <is>
          <t>1. SDSF LOG（または LOG O で OPERLOG）
2. FIND &lt;message id&gt; で該当箇所探す
3. 前後の関連メッセージ確認
4. 必要なら IPCS で SVC dump 解析</t>
        </is>
      </c>
      <c r="H15" s="2" t="inlineStr">
        <is>
          <t>原因メッセージ特定</t>
        </is>
      </c>
      <c r="I15" s="2" t="inlineStr">
        <is>
          <t>対処後にエラーメッセージ消失</t>
        </is>
      </c>
      <c r="J15" s="2" t="inlineStr">
        <is>
          <t>（調査作業に rollback なし）</t>
        </is>
      </c>
      <c r="K15" s="2" t="inlineStr"/>
      <c r="L15" s="2" t="inlineStr">
        <is>
          <t>S_ZOS_SDSF</t>
        </is>
      </c>
    </row>
    <row r="16">
      <c r="A16" s="2" t="inlineStr">
        <is>
          <t>inc-console-hung</t>
        </is>
      </c>
      <c r="B16" s="2" t="inlineStr">
        <is>
          <t>Console 応答なし</t>
        </is>
      </c>
      <c r="C16" s="2" t="inlineStr">
        <is>
          <t>A</t>
        </is>
      </c>
      <c r="D16" s="2" t="inlineStr">
        <is>
          <t>コンソール</t>
        </is>
      </c>
      <c r="E16" s="2" t="inlineStr">
        <is>
          <t>MCS console hung 時の代替対応。</t>
        </is>
      </c>
      <c r="F16" s="2" t="inlineStr">
        <is>
          <t>代替コンソールアクセス、HMC。</t>
        </is>
      </c>
      <c r="G16" s="2" t="inlineStr">
        <is>
          <t>1. 別 console から D C で console 状態確認
2. VARY CN(&lt;console&gt;),OFFLINE で切り離し
3. VARY CN(&lt;alt&gt;),HARDCPY で代替指定
4. EMCS console で代替</t>
        </is>
      </c>
      <c r="H16" s="2" t="inlineStr">
        <is>
          <t>代替 console が active</t>
        </is>
      </c>
      <c r="I16" s="2" t="inlineStr">
        <is>
          <t>オペレータコマンド受付</t>
        </is>
      </c>
      <c r="J16" s="2" t="inlineStr">
        <is>
          <t>VARY CN(&lt;original&gt;),ONLINE で戻し</t>
        </is>
      </c>
      <c r="K16" s="2" t="inlineStr">
        <is>
          <t>cfg-console-add</t>
        </is>
      </c>
      <c r="L16" s="2" t="inlineStr">
        <is>
          <t>S_ZOS_MVS_Init</t>
        </is>
      </c>
    </row>
    <row r="17">
      <c r="A17" s="2" t="inlineStr">
        <is>
          <t>inc-smpe-apply-fail</t>
        </is>
      </c>
      <c r="B17" s="2" t="inlineStr">
        <is>
          <t>SMP/E APPLY 失敗</t>
        </is>
      </c>
      <c r="C17" s="2" t="inlineStr">
        <is>
          <t>A</t>
        </is>
      </c>
      <c r="D17" s="2" t="inlineStr">
        <is>
          <t>ソフトウェア管理</t>
        </is>
      </c>
      <c r="E17" s="2" t="inlineStr">
        <is>
          <t>PTF 適用失敗の原因切り分け。</t>
        </is>
      </c>
      <c r="F17" s="2" t="inlineStr">
        <is>
          <t>SMP/E 操作権限。</t>
        </is>
      </c>
      <c r="G17" s="2" t="inlineStr">
        <is>
          <t>1. APPLY 出力ログ確認
2. ++HOLD 警告確認
3. 不足 prerequisite を特定
4. APPLY GROUPEXTEND で関連 PTF 同時適用
5. BYPASS(HOLDSYS) は内容確認後に判断</t>
        </is>
      </c>
      <c r="H17" s="2" t="inlineStr">
        <is>
          <t>APPLY SUCCESS</t>
        </is>
      </c>
      <c r="I17" s="2" t="inlineStr">
        <is>
          <t>LIST SYSMOD で適用状態確認、システム動作確認</t>
        </is>
      </c>
      <c r="J17" s="2" t="inlineStr">
        <is>
          <t>RESTORE で取り消し</t>
        </is>
      </c>
      <c r="K17" s="2" t="inlineStr">
        <is>
          <t>cfg-parmlib-update</t>
        </is>
      </c>
      <c r="L17" s="2" t="inlineStr">
        <is>
          <t>S_ZOS_SMPE</t>
        </is>
      </c>
    </row>
    <row r="18">
      <c r="A18" s="2" t="inlineStr">
        <is>
          <t>inc-job-fail</t>
        </is>
      </c>
      <c r="B18" s="2" t="inlineStr">
        <is>
          <t>ジョブ失敗・再実行</t>
        </is>
      </c>
      <c r="C18" s="2" t="inlineStr">
        <is>
          <t>A</t>
        </is>
      </c>
      <c r="D18" s="2" t="inlineStr">
        <is>
          <t>ジョブ</t>
        </is>
      </c>
      <c r="E18" s="2" t="inlineStr">
        <is>
          <t>JES2 で failed/canceled ジョブの再実行。</t>
        </is>
      </c>
      <c r="F18" s="2" t="inlineStr">
        <is>
          <t>JES2 操作権限。</t>
        </is>
      </c>
      <c r="G18" s="2" t="inlineStr">
        <is>
          <t>1. SDSF ST で対象ジョブ確認
2. JESYSMSG で失敗原因
3. JCL 修正後 SUBMIT、または CKPT があれば $E で restart
4. 再実行確認</t>
        </is>
      </c>
      <c r="H18" s="2" t="inlineStr">
        <is>
          <t>再実行で RC=0</t>
        </is>
      </c>
      <c r="I18" s="2" t="inlineStr">
        <is>
          <t>出力確認</t>
        </is>
      </c>
      <c r="J18" s="2" t="inlineStr">
        <is>
          <t>（失敗ジョブの rollback はない）</t>
        </is>
      </c>
      <c r="K18" s="2" t="inlineStr">
        <is>
          <t>inc-job-abend</t>
        </is>
      </c>
      <c r="L18" s="2" t="inlineStr">
        <is>
          <t>S_ZOS_JES2</t>
        </is>
      </c>
    </row>
    <row r="19">
      <c r="A19" s="2" t="inlineStr">
        <is>
          <t>inc-uss-batch</t>
        </is>
      </c>
      <c r="B19" s="2" t="inlineStr">
        <is>
          <t>BPXBATCH 失敗対応</t>
        </is>
      </c>
      <c r="C19" s="2" t="inlineStr">
        <is>
          <t>B</t>
        </is>
      </c>
      <c r="D19" s="2" t="inlineStr">
        <is>
          <t>USS</t>
        </is>
      </c>
      <c r="E19" s="2" t="inlineStr">
        <is>
          <t>BPXBATCH ジョブ失敗の切り分け。</t>
        </is>
      </c>
      <c r="F19" s="2" t="inlineStr">
        <is>
          <t>BPXBATCH JCL 編集権限。</t>
        </is>
      </c>
      <c r="G19" s="2" t="inlineStr">
        <is>
          <t>1. STDOUT / STDERR DD 確認
2. シェルスクリプト権限確認 (chmod +x)
3. シェルパス確認 (#!/bin/sh)
4. 環境変数（PATH 等）確認</t>
        </is>
      </c>
      <c r="H19" s="2" t="inlineStr">
        <is>
          <t>BPXBATCH RC=0</t>
        </is>
      </c>
      <c r="I19" s="2" t="inlineStr">
        <is>
          <t>STDOUT 出力確認</t>
        </is>
      </c>
      <c r="J19" s="2" t="inlineStr">
        <is>
          <t>（バッチ実行の rollback はない）</t>
        </is>
      </c>
      <c r="K19" s="2" t="inlineStr">
        <is>
          <t>cfg-uss-fs</t>
        </is>
      </c>
      <c r="L19" s="2" t="inlineStr">
        <is>
          <t>S_ZOS_USS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2" customWidth="1" min="3" max="3"/>
    <col width="40" customWidth="1" min="4" max="4"/>
    <col width="35" customWidth="1" min="5" max="5"/>
    <col width="60" customWidth="1" min="6" max="6"/>
    <col width="60" customWidth="1" min="7" max="7"/>
  </cols>
  <sheetData>
    <row r="1">
      <c r="A1" s="1" t="inlineStr">
        <is>
          <t>セクション</t>
        </is>
      </c>
      <c r="B1" s="1" t="inlineStr">
        <is>
          <t>カテゴリ</t>
        </is>
      </c>
      <c r="C1" s="1" t="inlineStr">
        <is>
          <t>概数</t>
        </is>
      </c>
      <c r="D1" s="1" t="inlineStr">
        <is>
          <t>理由</t>
        </is>
      </c>
      <c r="E1" s="1" t="inlineStr">
        <is>
          <t>参照先</t>
        </is>
      </c>
      <c r="F1" s="1" t="inlineStr">
        <is>
          <t>URL</t>
        </is>
      </c>
      <c r="G1" s="1" t="inlineStr">
        <is>
          <t>代表例</t>
        </is>
      </c>
    </row>
    <row r="2">
      <c r="A2" s="2" t="inlineStr">
        <is>
          <t>コマンド</t>
        </is>
      </c>
      <c r="B2" s="2" t="inlineStr">
        <is>
          <t>DFSORT / SYNCSORT 制御文</t>
        </is>
      </c>
      <c r="C2" s="2" t="inlineStr">
        <is>
          <t>100+ ステートメント</t>
        </is>
      </c>
      <c r="D2" s="2" t="inlineStr">
        <is>
          <t>ソート処理は専門書籍多数、本サイトでは扱わない</t>
        </is>
      </c>
      <c r="E2" s="2" t="inlineStr">
        <is>
          <t>DFSORT Application Programming Guide</t>
        </is>
      </c>
      <c r="F2" s="2" t="inlineStr">
        <is>
          <t>https://www.ibm.com/docs/en/zos/3.1.0?topic=dfsort-application-programming-guide</t>
        </is>
      </c>
      <c r="G2" s="2" t="inlineStr">
        <is>
          <t>SORT FIELDS=...; INCLUDE COND=(...); OUTREC FIELDS=(...); JOINKEYS; OMIT COND=(...)</t>
        </is>
      </c>
    </row>
    <row r="3">
      <c r="A3" s="2" t="inlineStr">
        <is>
          <t>コマンド</t>
        </is>
      </c>
      <c r="B3" s="2" t="inlineStr">
        <is>
          <t>IDCAMS（VSAM 管理）コマンド</t>
        </is>
      </c>
      <c r="C3" s="2" t="inlineStr">
        <is>
          <t>50+</t>
        </is>
      </c>
      <c r="D3" s="2" t="inlineStr">
        <is>
          <t>VSAM 専門領域、別途 IDCAMS 専門書籍参照</t>
        </is>
      </c>
      <c r="E3" s="2" t="inlineStr">
        <is>
          <t>DFSMS Access Method Services Commands</t>
        </is>
      </c>
      <c r="F3" s="2" t="inlineStr">
        <is>
          <t>https://www.ibm.com/docs/en/zos/3.1.0?topic=dfsms-access-method-services-commands</t>
        </is>
      </c>
      <c r="G3" s="2" t="inlineStr">
        <is>
          <t>DEFINE CLUSTER; REPRO; PRINT; ALTER; EXPORT/IMPORT; EXAMINE; DELETE; VERIFY</t>
        </is>
      </c>
    </row>
    <row r="4">
      <c r="A4" s="2" t="inlineStr">
        <is>
          <t>コマンド</t>
        </is>
      </c>
      <c r="B4" s="2" t="inlineStr">
        <is>
          <t>ISPF Edit / Browse のラインコマンド</t>
        </is>
      </c>
      <c r="C4" s="2" t="inlineStr">
        <is>
          <t>数十</t>
        </is>
      </c>
      <c r="D4" s="2" t="inlineStr">
        <is>
          <t>対話編集機能で本サイトの管理コマンドの範囲外</t>
        </is>
      </c>
      <c r="E4" s="2" t="inlineStr">
        <is>
          <t>ISPF Edit Reference</t>
        </is>
      </c>
      <c r="F4" s="2" t="inlineStr">
        <is>
          <t>https://www.ibm.com/docs/en/zos/3.1.0?topic=ispf-edit-reference</t>
        </is>
      </c>
      <c r="G4" s="2" t="inlineStr">
        <is>
          <t>I (Insert); D (Delete); C/M/A (Copy/Move/After); F/L (First/Last); X/S (eXclude/Show); CHANGE; FIND</t>
        </is>
      </c>
    </row>
    <row r="5">
      <c r="A5" s="2" t="inlineStr">
        <is>
          <t>コマンド</t>
        </is>
      </c>
      <c r="B5" s="2" t="inlineStr">
        <is>
          <t>RMF Monitor I/II/III サブコマンド</t>
        </is>
      </c>
      <c r="C5" s="2" t="inlineStr">
        <is>
          <t>30+</t>
        </is>
      </c>
      <c r="D5" s="2" t="inlineStr">
        <is>
          <t>性能管理専門領域</t>
        </is>
      </c>
      <c r="E5" s="2" t="inlineStr">
        <is>
          <t>RMF User's Guide</t>
        </is>
      </c>
      <c r="F5" s="2" t="inlineStr">
        <is>
          <t>https://www.ibm.com/docs/en/zos/3.1.0?topic=rmf-users-guide</t>
        </is>
      </c>
      <c r="G5" s="2" t="inlineStr">
        <is>
          <t>RMF MONITOR I; RMF MONITOR II ...; PP（Postprocessor）</t>
        </is>
      </c>
    </row>
    <row r="6">
      <c r="A6" s="2" t="inlineStr">
        <is>
          <t>コマンド</t>
        </is>
      </c>
      <c r="B6" s="2" t="inlineStr">
        <is>
          <t>DFSMShsm コマンド</t>
        </is>
      </c>
      <c r="C6" s="2" t="inlineStr">
        <is>
          <t>100+</t>
        </is>
      </c>
      <c r="D6" s="2" t="inlineStr">
        <is>
          <t>HSM 運用専門</t>
        </is>
      </c>
      <c r="E6" s="2" t="inlineStr">
        <is>
          <t>DFSMShsm Storage Administration Reference</t>
        </is>
      </c>
      <c r="F6" s="2" t="inlineStr">
        <is>
          <t>https://www.ibm.com/docs/en/zos/3.1.0?topic=dfsmshsm-storage-administration-reference</t>
        </is>
      </c>
      <c r="G6" s="2" t="inlineStr">
        <is>
          <t>HSEND ...; HMIGRATE; HRECALL; HBACKDS; HALTERDS</t>
        </is>
      </c>
    </row>
    <row r="7">
      <c r="A7" s="2" t="inlineStr">
        <is>
          <t>設定値</t>
        </is>
      </c>
      <c r="B7" s="2" t="inlineStr">
        <is>
          <t>PARMLIB 全メンバ（80+）</t>
        </is>
      </c>
      <c r="C7" s="2" t="inlineStr">
        <is>
          <t>80+</t>
        </is>
      </c>
      <c r="D7" s="2" t="inlineStr">
        <is>
          <t>z/OS PARMLIB は約 100 メンバ、本サイトは staple 19 のみ</t>
        </is>
      </c>
      <c r="E7" s="2" t="inlineStr">
        <is>
          <t>MVS Initialization and Tuning Reference</t>
        </is>
      </c>
      <c r="F7" s="2" t="inlineStr">
        <is>
          <t>https://www.ibm.com/docs/en/zos/3.1.0?topic=mvs-initialization-tuning-reference</t>
        </is>
      </c>
      <c r="G7" s="2" t="inlineStr">
        <is>
          <t>ALLOCxx; ANTMINxx; ANTXINxx; APPCPMxx; ASCHPMxx; AUTOR00; AXR00; BLSCECT ...</t>
        </is>
      </c>
    </row>
    <row r="8">
      <c r="A8" s="2" t="inlineStr">
        <is>
          <t>設定値</t>
        </is>
      </c>
      <c r="B8" s="2" t="inlineStr">
        <is>
          <t>JES2 INITDECK の全パラメータ（200+）</t>
        </is>
      </c>
      <c r="C8" s="2" t="inlineStr">
        <is>
          <t>200+</t>
        </is>
      </c>
      <c r="D8" s="2" t="inlineStr">
        <is>
          <t>JES2 専門領域、サイト staple 範囲外</t>
        </is>
      </c>
      <c r="E8" s="2" t="inlineStr">
        <is>
          <t>JES2 Initialization and Tuning Reference</t>
        </is>
      </c>
      <c r="F8" s="2" t="inlineStr">
        <is>
          <t>https://www.ibm.com/docs/en/zos/3.1.0?topic=jes2-initialization-tuning-reference</t>
        </is>
      </c>
      <c r="G8" s="2" t="inlineStr">
        <is>
          <t>APPL(...); CKPTSPACE; CONNECT; DESTID; ESTLNCT; ESTPAGE; ESTPUN; FSSDEF ...</t>
        </is>
      </c>
    </row>
    <row r="9">
      <c r="A9" s="2" t="inlineStr">
        <is>
          <t>設定値</t>
        </is>
      </c>
      <c r="B9" s="2" t="inlineStr">
        <is>
          <t>RACF SETROPTS 全オプション</t>
        </is>
      </c>
      <c r="C9" s="2" t="inlineStr">
        <is>
          <t>50+</t>
        </is>
      </c>
      <c r="D9" s="2" t="inlineStr">
        <is>
          <t>RACF 専門領域</t>
        </is>
      </c>
      <c r="E9" s="2" t="inlineStr">
        <is>
          <t>RACF Command Language Reference SETROPTS</t>
        </is>
      </c>
      <c r="F9" s="2" t="inlineStr">
        <is>
          <t>https://www.ibm.com/docs/en/zos/3.1.0?topic=racf-setropts-set-racf-options</t>
        </is>
      </c>
      <c r="G9" s="2" t="inlineStr">
        <is>
          <t>ADDCREATOR; AUDIT; CATDSNS; CLASSACT; ENCRYPT; GENERIC; GLOBAL; GRPLIST ...</t>
        </is>
      </c>
    </row>
    <row r="10">
      <c r="A10" s="2" t="inlineStr">
        <is>
          <t>設定値</t>
        </is>
      </c>
      <c r="B10" s="2" t="inlineStr">
        <is>
          <t>SMF 全 record type</t>
        </is>
      </c>
      <c r="C10" s="2" t="inlineStr">
        <is>
          <t>200+</t>
        </is>
      </c>
      <c r="D10" s="2" t="inlineStr">
        <is>
          <t>Type 0-255 の全レコード仕様、本サイトは主要 type のみ</t>
        </is>
      </c>
      <c r="E10" s="2" t="inlineStr">
        <is>
          <t>SMF Reference</t>
        </is>
      </c>
      <c r="F10" s="2" t="inlineStr">
        <is>
          <t>https://www.ibm.com/docs/en/zos/3.1.0?topic=mvs-system-management-facilities-smf</t>
        </is>
      </c>
      <c r="G10" s="2" t="inlineStr">
        <is>
          <t>Type 0 (IPL); Type 14/15 (Read/Write); Type 17/18 (Delete/Rename); Type 23 (SMF); Type 60-69 (VSAM); Type 88 (Logger); Type 119 (TCP/IP); Type 120 (WebSphere) ...</t>
        </is>
      </c>
    </row>
    <row r="11">
      <c r="A11" s="2" t="inlineStr">
        <is>
          <t>用語</t>
        </is>
      </c>
      <c r="B11" s="2" t="inlineStr">
        <is>
          <t>DB2/IMS/CICS 専用用語</t>
        </is>
      </c>
      <c r="C11" s="2" t="inlineStr">
        <is>
          <t>数百</t>
        </is>
      </c>
      <c r="D11" s="2" t="inlineStr">
        <is>
          <t>個別製品用語は各製品の公式 glossary 参照</t>
        </is>
      </c>
      <c r="E11" s="2" t="inlineStr">
        <is>
          <t>各製品の Knowledge Center</t>
        </is>
      </c>
      <c r="F11" s="2" t="inlineStr">
        <is>
          <t>https://www.ibm.com/docs/en/</t>
        </is>
      </c>
      <c r="G11" s="2" t="inlineStr">
        <is>
          <t>Db2 Data Sharing Group; IMS DBD/PSB; CICS TS Region; MQ Queue Manager</t>
        </is>
      </c>
    </row>
    <row r="12">
      <c r="A12" s="2" t="inlineStr">
        <is>
          <t>用語</t>
        </is>
      </c>
      <c r="B12" s="2" t="inlineStr">
        <is>
          <t>アセンブラ・低レベル用語</t>
        </is>
      </c>
      <c r="C12" s="2" t="inlineStr">
        <is>
          <t>数十</t>
        </is>
      </c>
      <c r="D12" s="2" t="inlineStr">
        <is>
          <t>アセンブラ言語専門、システムプログラマ範囲</t>
        </is>
      </c>
      <c r="E12" s="2" t="inlineStr">
        <is>
          <t>MVS Programming: Assembler Services Guide</t>
        </is>
      </c>
      <c r="F12" s="2" t="inlineStr">
        <is>
          <t>https://www.ibm.com/docs/en/zos/3.1.0?topic=mvs-programming-assembler-services-guide</t>
        </is>
      </c>
      <c r="G12" s="2" t="inlineStr">
        <is>
          <t>TCB / SRB; PSW; CVT; ASCB / ASXB; PCB / DEB; RB / IRB</t>
        </is>
      </c>
    </row>
    <row r="13">
      <c r="A13" s="2" t="inlineStr">
        <is>
          <t>ユースケース</t>
        </is>
      </c>
      <c r="B13" s="2" t="inlineStr">
        <is>
          <t>アプリケーション開発系</t>
        </is>
      </c>
      <c r="C13" s="2" t="inlineStr">
        <is>
          <t>多数</t>
        </is>
      </c>
      <c r="D13" s="2" t="inlineStr">
        <is>
          <t>プログラミング言語 (COBOL/PL/I/Java) は別途専門書籍参照</t>
        </is>
      </c>
      <c r="E13" s="2" t="inlineStr">
        <is>
          <t>各言語の Programming Guide</t>
        </is>
      </c>
      <c r="F13" s="2" t="inlineStr">
        <is>
          <t>https://www.ibm.com/docs/en/zos/3.1.0</t>
        </is>
      </c>
      <c r="G13" s="2" t="inlineStr">
        <is>
          <t>COBOL コンパイル + バインド; PL/I 開発; Java バッチ; DB2 Plan/Package 作成</t>
        </is>
      </c>
    </row>
    <row r="14">
      <c r="A14" s="2" t="inlineStr">
        <is>
          <t>ユースケース</t>
        </is>
      </c>
      <c r="B14" s="2" t="inlineStr">
        <is>
          <t>ミドルウェア構築系（CICS/IMS/Db2）</t>
        </is>
      </c>
      <c r="C14" s="2" t="inlineStr">
        <is>
          <t>多数</t>
        </is>
      </c>
      <c r="D14" s="2" t="inlineStr">
        <is>
          <t>個別製品の専門領域</t>
        </is>
      </c>
      <c r="E14" s="2" t="inlineStr">
        <is>
          <t>各製品 InstallationGuide</t>
        </is>
      </c>
      <c r="F14" s="2" t="inlineStr">
        <is>
          <t>https://www.ibm.com/docs/en/</t>
        </is>
      </c>
      <c r="G14" s="2" t="inlineStr">
        <is>
          <t>CICS リージョン定義; IMS データベース定義; Db2 サブシステム作成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50" customWidth="1" min="2" max="2"/>
    <col width="80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タイトル</t>
        </is>
      </c>
      <c r="C1" s="1" t="inlineStr">
        <is>
          <t>概要</t>
        </is>
      </c>
      <c r="D1" s="1" t="inlineStr">
        <is>
          <t>本文行数</t>
        </is>
      </c>
    </row>
    <row r="2">
      <c r="A2" s="2" t="inlineStr">
        <is>
          <t>scn-new-system-init</t>
        </is>
      </c>
      <c r="B2" s="2" t="inlineStr">
        <is>
          <t>新規 z/OS システムの初期セットアップ</t>
        </is>
      </c>
      <c r="C2" s="2" t="inlineStr">
        <is>
          <t>新しい LPAR を初めて立ち上げて運用に乗せるまでの全体俯瞰。</t>
        </is>
      </c>
      <c r="D2" s="2" t="n">
        <v>40</v>
      </c>
    </row>
    <row r="3">
      <c r="A3" s="2" t="inlineStr">
        <is>
          <t>scn-spool-shortage</t>
        </is>
      </c>
      <c r="B3" s="2" t="inlineStr">
        <is>
          <t>JES2 SPOOL 容量不足対応</t>
        </is>
      </c>
      <c r="C3" s="2" t="inlineStr">
        <is>
          <t>$HASP050 SHORT ON SPOOL SPACE 発生時の即時対応 + 恒久対策。</t>
        </is>
      </c>
      <c r="D3" s="2" t="n">
        <v>21</v>
      </c>
    </row>
    <row r="4">
      <c r="A4" s="2" t="inlineStr">
        <is>
          <t>scn-perf-investigation</t>
        </is>
      </c>
      <c r="B4" s="2" t="inlineStr">
        <is>
          <t>性能問題の切り分けと改善</t>
        </is>
      </c>
      <c r="C4" s="2" t="inlineStr">
        <is>
          <t>業務応答悪化時に WLM/RMF から原因特定して tunable 調整するまで。</t>
        </is>
      </c>
      <c r="D4" s="2" t="n">
        <v>25</v>
      </c>
    </row>
    <row r="5">
      <c r="A5" s="2" t="inlineStr">
        <is>
          <t>scn-disaster-recovery</t>
        </is>
      </c>
      <c r="B5" s="2" t="inlineStr">
        <is>
          <t>災害復旧（DR）演習・準備</t>
        </is>
      </c>
      <c r="C5" s="2" t="inlineStr">
        <is>
          <t>GDPS / Sysplex / mksysb 相当の Stand-Alone Restore による DR 演習。</t>
        </is>
      </c>
      <c r="D5" s="2" t="n">
        <v>24</v>
      </c>
    </row>
    <row r="6">
      <c r="A6" s="2" t="inlineStr">
        <is>
          <t>scn-security-audit</t>
        </is>
      </c>
      <c r="B6" s="2" t="inlineStr">
        <is>
          <t>セキュリティ監査要求への対応</t>
        </is>
      </c>
      <c r="C6" s="2" t="inlineStr">
        <is>
          <t>監査要求（誰が何にアクセスしたか）への RACF + SMF を活用した対応。</t>
        </is>
      </c>
      <c r="D6" s="2" t="n">
        <v>21</v>
      </c>
    </row>
    <row r="7">
      <c r="A7" s="2" t="inlineStr">
        <is>
          <t>scn-software-maint</t>
        </is>
      </c>
      <c r="B7" s="2" t="inlineStr">
        <is>
          <t>z/OS パッチ適用（PTF / Service Pack）</t>
        </is>
      </c>
      <c r="C7" s="2" t="inlineStr">
        <is>
          <t>SMP/E でのパッチ適用、テスト、ロールバックまでの全体フロー。</t>
        </is>
      </c>
      <c r="D7" s="2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40" customWidth="1" min="2" max="2"/>
    <col width="16" customWidth="1" min="3" max="3"/>
    <col width="60" customWidth="1" min="4" max="4"/>
    <col width="4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タイトル</t>
        </is>
      </c>
      <c r="C1" s="1" t="inlineStr">
        <is>
          <t>カテゴリ</t>
        </is>
      </c>
      <c r="D1" s="1" t="inlineStr">
        <is>
          <t>想定状況</t>
        </is>
      </c>
      <c r="E1" s="1" t="inlineStr">
        <is>
          <t>前提</t>
        </is>
      </c>
      <c r="F1" s="1" t="inlineStr">
        <is>
          <t>関連リンク</t>
        </is>
      </c>
    </row>
    <row r="2">
      <c r="A2" s="2" t="inlineStr">
        <is>
          <t>uc-parmlib-iea-symdef</t>
        </is>
      </c>
      <c r="B2" s="2" t="inlineStr">
        <is>
          <t>IEASYMxx に SYMDEF を追加</t>
        </is>
      </c>
      <c r="C2" s="2" t="inlineStr">
        <is>
          <t>PARMLIB</t>
        </is>
      </c>
      <c r="D2" s="2" t="inlineStr">
        <is>
          <t>Sysplex 環境でメンバ別シンボル（&amp;SYSCLONE 等）を追加して JCL/PROCLIB の共通化を進めたい。</t>
        </is>
      </c>
      <c r="E2" s="2" t="inlineStr">
        <is>
          <t>SYS1.PARMLIB UPDATE 権限; Sysplex 全メンバへの計画反映可能</t>
        </is>
      </c>
      <c r="F2" s="2" t="inlineStr">
        <is>
          <t>uc-parmlib-iefssn, uc-parmlib-progxx-apf</t>
        </is>
      </c>
    </row>
    <row r="3">
      <c r="A3" s="2" t="inlineStr">
        <is>
          <t>uc-parmlib-progxx-apf</t>
        </is>
      </c>
      <c r="B3" s="2" t="inlineStr">
        <is>
          <t>APF 認可ライブラリ追加（PROGxx）</t>
        </is>
      </c>
      <c r="C3" s="2" t="inlineStr">
        <is>
          <t>PARMLIB</t>
        </is>
      </c>
      <c r="D3" s="2" t="inlineStr">
        <is>
          <t>新しい製品ライブラリを APF 認可リストに追加して、認可プログラムが実行できるようにしたい。</t>
        </is>
      </c>
      <c r="E3" s="2" t="inlineStr">
        <is>
          <t>PARMLIB 編集権限; 対象ライブラリ存在確認</t>
        </is>
      </c>
      <c r="F3" s="2" t="inlineStr">
        <is>
          <t>uc-parmlib-iea-symdef, uc-racf-fac-class</t>
        </is>
      </c>
    </row>
    <row r="4">
      <c r="A4" s="2" t="inlineStr">
        <is>
          <t>uc-parmlib-iefssn</t>
        </is>
      </c>
      <c r="B4" s="2" t="inlineStr">
        <is>
          <t>IEFSSN にサブシステム追加</t>
        </is>
      </c>
      <c r="C4" s="2" t="inlineStr">
        <is>
          <t>PARMLIB</t>
        </is>
      </c>
      <c r="D4" s="2" t="inlineStr">
        <is>
          <t>新しいサブシステム（例: ICSF, RRS）を IPL 時に起動させたい。</t>
        </is>
      </c>
      <c r="E4" s="2" t="inlineStr">
        <is>
          <t>PARMLIB 編集権限; 計画 IPL 時間</t>
        </is>
      </c>
      <c r="F4" s="2" t="inlineStr">
        <is>
          <t>uc-parmlib-progxx-apf, uc-stc-autostart</t>
        </is>
      </c>
    </row>
    <row r="5">
      <c r="A5" s="2" t="inlineStr">
        <is>
          <t>uc-parmlib-bpx-mount</t>
        </is>
      </c>
      <c r="B5" s="2" t="inlineStr">
        <is>
          <t>BPXPRMxx に zFS MOUNT を追加</t>
        </is>
      </c>
      <c r="C5" s="2" t="inlineStr">
        <is>
          <t>PARMLIB</t>
        </is>
      </c>
      <c r="D5" s="2" t="inlineStr">
        <is>
          <t>新規 zFS aggregate を IPL 時に自動マウントさせたい。</t>
        </is>
      </c>
      <c r="E5" s="2" t="inlineStr">
        <is>
          <t>BPXPRMxx 編集権限; zFS データセット作成済</t>
        </is>
      </c>
      <c r="F5" s="2" t="inlineStr">
        <is>
          <t>uc-uss-zfs-grow, uc-parmlib-iefssn</t>
        </is>
      </c>
    </row>
    <row r="6">
      <c r="A6" s="2" t="inlineStr">
        <is>
          <t>uc-parmlib-smfprm-add-type</t>
        </is>
      </c>
      <c r="B6" s="2" t="inlineStr">
        <is>
          <t>SMFPRMxx に新規 SMF type 追加</t>
        </is>
      </c>
      <c r="C6" s="2" t="inlineStr">
        <is>
          <t>PARMLIB</t>
        </is>
      </c>
      <c r="D6" s="2" t="inlineStr">
        <is>
          <t>WLM 統計（SMF 99）や Db2 統計を新たに記録したい。</t>
        </is>
      </c>
      <c r="E6" s="2" t="inlineStr">
        <is>
          <t>SMFPRMxx 編集権限</t>
        </is>
      </c>
      <c r="F6" s="2" t="inlineStr">
        <is>
          <t>uc-smf-switch-dump, uc-parmlib-iea-symdef</t>
        </is>
      </c>
    </row>
    <row r="7">
      <c r="A7" s="2" t="inlineStr">
        <is>
          <t>uc-jes2-spool-add</t>
        </is>
      </c>
      <c r="B7" s="2" t="inlineStr">
        <is>
          <t>JES2 SPOOL volume を動的追加</t>
        </is>
      </c>
      <c r="C7" s="2" t="inlineStr">
        <is>
          <t>JES2</t>
        </is>
      </c>
      <c r="D7" s="2" t="inlineStr">
        <is>
          <t>JES2 SPOOL 使用率が 80% を超え、新規 volume を追加して容量拡張したい。</t>
        </is>
      </c>
      <c r="E7" s="2" t="inlineStr">
        <is>
          <t>MASTER コンソール権限; 新規 volume 確保（DASD）</t>
        </is>
      </c>
      <c r="F7" s="2" t="inlineStr">
        <is>
          <t>uc-sdsf-jes2-purge, inc-jes2-spool-full</t>
        </is>
      </c>
    </row>
    <row r="8">
      <c r="A8" s="2" t="inlineStr">
        <is>
          <t>uc-jes2-init-class-change</t>
        </is>
      </c>
      <c r="B8" s="2" t="inlineStr">
        <is>
          <t>JES2 イニシエータの CLASS 変更</t>
        </is>
      </c>
      <c r="C8" s="2" t="inlineStr">
        <is>
          <t>JES2</t>
        </is>
      </c>
      <c r="D8" s="2" t="inlineStr">
        <is>
          <t>業務時間帯に応じてバッチ処理用イニシエータの受け持ち CLASS を変更したい。</t>
        </is>
      </c>
      <c r="E8" s="2" t="inlineStr">
        <is>
          <t>MASTER コンソール権限</t>
        </is>
      </c>
      <c r="F8" s="2" t="inlineStr">
        <is>
          <t>uc-jes2-spool-add, inc-jes2-spool-full</t>
        </is>
      </c>
    </row>
    <row r="9">
      <c r="A9" s="2" t="inlineStr">
        <is>
          <t>uc-jes2-jobclass-define</t>
        </is>
      </c>
      <c r="B9" s="2" t="inlineStr">
        <is>
          <t>JES2 新規 JOBCLASS 定義</t>
        </is>
      </c>
      <c r="C9" s="2" t="inlineStr">
        <is>
          <t>JES2</t>
        </is>
      </c>
      <c r="D9" s="2" t="inlineStr">
        <is>
          <t>特定業務専用ジョブクラス（高優先度・大きい region size）を新規追加したい。</t>
        </is>
      </c>
      <c r="E9" s="2" t="inlineStr">
        <is>
          <t>JES2 INITDECK 編集権限; JES2 warm start 計画</t>
        </is>
      </c>
      <c r="F9" s="2" t="inlineStr">
        <is>
          <t>uc-jes2-init-class-change, uc-wlm-schenv-define</t>
        </is>
      </c>
    </row>
    <row r="10">
      <c r="A10" s="2" t="inlineStr">
        <is>
          <t>uc-jes2-nje-route</t>
        </is>
      </c>
      <c r="B10" s="2" t="inlineStr">
        <is>
          <t>JES2 NJE で別システムへジョブ転送</t>
        </is>
      </c>
      <c r="C10" s="2" t="inlineStr">
        <is>
          <t>JES2</t>
        </is>
      </c>
      <c r="D10" s="2" t="inlineStr">
        <is>
          <t>本番系で実行すべきジョブを開発系から /*ROUTE で投入したい。</t>
        </is>
      </c>
      <c r="E10" s="2" t="inlineStr">
        <is>
          <t>NJE 設定済（NETSRV/NODE/LINE 定義）; 対向ノード稼働</t>
        </is>
      </c>
      <c r="F10" s="2" t="inlineStr">
        <is>
          <t>uc-jes2-init-class-change</t>
        </is>
      </c>
    </row>
    <row r="11">
      <c r="A11" s="2" t="inlineStr">
        <is>
          <t>uc-smf-switch-dump</t>
        </is>
      </c>
      <c r="B11" s="2" t="inlineStr">
        <is>
          <t>SMF データセット SWITCH と DUMP</t>
        </is>
      </c>
      <c r="C11" s="2" t="inlineStr">
        <is>
          <t>SMF</t>
        </is>
      </c>
      <c r="D11" s="2" t="inlineStr">
        <is>
          <t>SMF データセット（SYS1.MAN1）が満杯近、次のデータセットへ切り替えて旧データを history に保存したい。</t>
        </is>
      </c>
      <c r="E11" s="2" t="inlineStr">
        <is>
          <t>SMF 操作権限; DUMP 先データセット容量確保</t>
        </is>
      </c>
      <c r="F11" s="2" t="inlineStr">
        <is>
          <t>uc-parmlib-smfprm-add-type, inc-smf-collect-fail</t>
        </is>
      </c>
    </row>
    <row r="12">
      <c r="A12" s="2" t="inlineStr">
        <is>
          <t>uc-smf-extract-type30</t>
        </is>
      </c>
      <c r="B12" s="2" t="inlineStr">
        <is>
          <t>IFASMFDP で SMF Type 30 を抽出</t>
        </is>
      </c>
      <c r="C12" s="2" t="inlineStr">
        <is>
          <t>SMF</t>
        </is>
      </c>
      <c r="D12" s="2" t="inlineStr">
        <is>
          <t>前日のジョブ統計（CPU 時間、I/O 数等）を Type 30 から抽出してレポートに使いたい。</t>
        </is>
      </c>
      <c r="E12" s="2" t="inlineStr">
        <is>
          <t>SMF history データセット参照権限</t>
        </is>
      </c>
      <c r="F12" s="2" t="inlineStr">
        <is>
          <t>uc-smf-switch-dump, uc-parmlib-smfprm-add-type</t>
        </is>
      </c>
    </row>
    <row r="13">
      <c r="A13" s="2" t="inlineStr">
        <is>
          <t>uc-smf-logger-setup</t>
        </is>
      </c>
      <c r="B13" s="2" t="inlineStr">
        <is>
          <t>SMF を Logger に切り替え</t>
        </is>
      </c>
      <c r="C13" s="2" t="inlineStr">
        <is>
          <t>SMF</t>
        </is>
      </c>
      <c r="D13" s="2" t="inlineStr">
        <is>
          <t>SYS1.MAN* 方式から System Logger 方式に切り替えてサイズ管理を自動化したい。</t>
        </is>
      </c>
      <c r="E13" s="2" t="inlineStr">
        <is>
          <t>LOGREC / Logger 設定済; CFRM Policy で Logger structure 定義</t>
        </is>
      </c>
      <c r="F13" s="2" t="inlineStr">
        <is>
          <t>uc-smf-switch-dump, uc-sysplex-cfrm-update</t>
        </is>
      </c>
    </row>
    <row r="14">
      <c r="A14" s="2" t="inlineStr">
        <is>
          <t>uc-racf-dataset-profile</t>
        </is>
      </c>
      <c r="B14" s="2" t="inlineStr">
        <is>
          <t>RACF データセット保護プロファイル新規作成</t>
        </is>
      </c>
      <c r="C14" s="2" t="inlineStr">
        <is>
          <t>RACF</t>
        </is>
      </c>
      <c r="D14" s="2" t="inlineStr">
        <is>
          <t>新業務用データセット PROD.DATA.* を保護し、PROD グループのみアクセス可能にしたい。</t>
        </is>
      </c>
      <c r="E14" s="2" t="inlineStr">
        <is>
          <t>RACF SPECIAL or DATASET class authority</t>
        </is>
      </c>
      <c r="F14" s="2" t="inlineStr">
        <is>
          <t>uc-racf-fac-class, uc-racf-permit-grp</t>
        </is>
      </c>
    </row>
    <row r="15">
      <c r="A15" s="2" t="inlineStr">
        <is>
          <t>uc-racf-fac-class</t>
        </is>
      </c>
      <c r="B15" s="2" t="inlineStr">
        <is>
          <t>RACF FACILITY クラスでのリソース制御</t>
        </is>
      </c>
      <c r="C15" s="2" t="inlineStr">
        <is>
          <t>RACF</t>
        </is>
      </c>
      <c r="D15" s="2" t="inlineStr">
        <is>
          <t>BPX.SUPERUSER などの FACILITY クラスリソースで USS root 権限を制御したい。</t>
        </is>
      </c>
      <c r="E15" s="2" t="inlineStr">
        <is>
          <t>RACF SPECIAL</t>
        </is>
      </c>
      <c r="F15" s="2" t="inlineStr">
        <is>
          <t>uc-racf-dataset-profile, uc-uss-zfs-grow</t>
        </is>
      </c>
    </row>
    <row r="16">
      <c r="A16" s="2" t="inlineStr">
        <is>
          <t>uc-racf-permit-grp</t>
        </is>
      </c>
      <c r="B16" s="2" t="inlineStr">
        <is>
          <t>RACF グループメンバ追加とアクセス権継承</t>
        </is>
      </c>
      <c r="C16" s="2" t="inlineStr">
        <is>
          <t>RACF</t>
        </is>
      </c>
      <c r="D16" s="2" t="inlineStr">
        <is>
          <t>新メンバを既存グループに追加して、グループ経由のリソース権限を継承させたい。</t>
        </is>
      </c>
      <c r="E16" s="2" t="inlineStr">
        <is>
          <t>対象 GROUP の OWNERSHIP or class authority</t>
        </is>
      </c>
      <c r="F16" s="2" t="inlineStr">
        <is>
          <t>uc-racf-dataset-profile</t>
        </is>
      </c>
    </row>
    <row r="17">
      <c r="A17" s="2" t="inlineStr">
        <is>
          <t>uc-tcpip-home-add</t>
        </is>
      </c>
      <c r="B17" s="2" t="inlineStr">
        <is>
          <t>TCPIP PROFILE に HOME ステートメント追加</t>
        </is>
      </c>
      <c r="C17" s="2" t="inlineStr">
        <is>
          <t>TCPIP</t>
        </is>
      </c>
      <c r="D17" s="2" t="inlineStr">
        <is>
          <t>新規 IP アドレスをホスト追加して特定 OSA から外部公開したい。</t>
        </is>
      </c>
      <c r="E17" s="2" t="inlineStr">
        <is>
          <t>PROFILE.TCPIP 編集権限</t>
        </is>
      </c>
      <c r="F17" s="2" t="inlineStr">
        <is>
          <t>uc-tcpip-port-reserve, inc-tcpip-down</t>
        </is>
      </c>
    </row>
    <row r="18">
      <c r="A18" s="2" t="inlineStr">
        <is>
          <t>uc-tcpip-port-reserve</t>
        </is>
      </c>
      <c r="B18" s="2" t="inlineStr">
        <is>
          <t>PORT 予約と AUTOLOG</t>
        </is>
      </c>
      <c r="C18" s="2" t="inlineStr">
        <is>
          <t>TCPIP</t>
        </is>
      </c>
      <c r="D18" s="2" t="inlineStr">
        <is>
          <t>業務サーバ用に固定 port を予約し、起動時自動で listening するように設定したい。</t>
        </is>
      </c>
      <c r="E18" s="2" t="inlineStr">
        <is>
          <t>PROFILE.TCPIP 編集権限</t>
        </is>
      </c>
      <c r="F18" s="2" t="inlineStr">
        <is>
          <t>uc-tcpip-home-add, uc-stc-autostart</t>
        </is>
      </c>
    </row>
    <row r="19">
      <c r="A19" s="2" t="inlineStr">
        <is>
          <t>uc-sdsf-jes2-purge</t>
        </is>
      </c>
      <c r="B19" s="2" t="inlineStr">
        <is>
          <t>SDSF からジョブ大量パージ</t>
        </is>
      </c>
      <c r="C19" s="2" t="inlineStr">
        <is>
          <t>SDSF</t>
        </is>
      </c>
      <c r="D19" s="2" t="inlineStr">
        <is>
          <t>JES2 SPOOL が満杯近、SDSF ST で完了済ジョブを一括 PURGE したい。</t>
        </is>
      </c>
      <c r="E19" s="2" t="inlineStr">
        <is>
          <t>SDSF アクセス権; JES2 操作権限（RACF SDSF.* 等）</t>
        </is>
      </c>
      <c r="F19" s="2" t="inlineStr">
        <is>
          <t>uc-jes2-spool-add, inc-jes2-spool-full</t>
        </is>
      </c>
    </row>
    <row r="20">
      <c r="A20" s="2" t="inlineStr">
        <is>
          <t>uc-sdsf-syslog-search</t>
        </is>
      </c>
      <c r="B20" s="2" t="inlineStr">
        <is>
          <t>SDSF SYSLOG/OPERLOG で問題調査</t>
        </is>
      </c>
      <c r="C20" s="2" t="inlineStr">
        <is>
          <t>SDSF</t>
        </is>
      </c>
      <c r="D20" s="2" t="inlineStr">
        <is>
          <t>ジョブ実行中に発生した問題のメッセージを SYSLOG から検索したい。</t>
        </is>
      </c>
      <c r="E20" s="2" t="inlineStr">
        <is>
          <t>SDSF アクセス、LOG 権限</t>
        </is>
      </c>
      <c r="F20" s="2" t="inlineStr">
        <is>
          <t>uc-sdsf-jes2-purge, inc-syslog-investigation</t>
        </is>
      </c>
    </row>
    <row r="21">
      <c r="A21" s="2" t="inlineStr">
        <is>
          <t>uc-oper-vary-device</t>
        </is>
      </c>
      <c r="B21" s="2" t="inlineStr">
        <is>
          <t>オペレータコマンドで DASD 切り離し</t>
        </is>
      </c>
      <c r="C21" s="2" t="inlineStr">
        <is>
          <t>SDSF</t>
        </is>
      </c>
      <c r="D21" s="2" t="inlineStr">
        <is>
          <t>DASD メンテナンスのため特定 volume をオフライン化したい。</t>
        </is>
      </c>
      <c r="E21" s="2" t="inlineStr">
        <is>
          <t>MASTER コンソール権限</t>
        </is>
      </c>
      <c r="F21" s="2" t="inlineStr">
        <is>
          <t>uc-sdsf-jes2-purge</t>
        </is>
      </c>
    </row>
    <row r="22">
      <c r="A22" s="2" t="inlineStr">
        <is>
          <t>uc-uss-zfs-grow</t>
        </is>
      </c>
      <c r="B22" s="2" t="inlineStr">
        <is>
          <t>zFS aggregate を動的拡張</t>
        </is>
      </c>
      <c r="C22" s="2" t="inlineStr">
        <is>
          <t>USS</t>
        </is>
      </c>
      <c r="D22" s="2" t="inlineStr">
        <is>
          <t>USS マウント済 zFS が満杯近、unmount せず拡張したい。</t>
        </is>
      </c>
      <c r="E22" s="2" t="inlineStr">
        <is>
          <t>zFS 管理権限; BPXPRMxx 編集権限（事後反映）</t>
        </is>
      </c>
      <c r="F22" s="2" t="inlineStr">
        <is>
          <t>uc-parmlib-bpx-mount, inc-uss-fs-full</t>
        </is>
      </c>
    </row>
    <row r="23">
      <c r="A23" s="2" t="inlineStr">
        <is>
          <t>uc-uss-omvs-segment</t>
        </is>
      </c>
      <c r="B23" s="2" t="inlineStr">
        <is>
          <t>RACF OMVS セグメント追加</t>
        </is>
      </c>
      <c r="C23" s="2" t="inlineStr">
        <is>
          <t>USS</t>
        </is>
      </c>
      <c r="D23" s="2" t="inlineStr">
        <is>
          <t>新規 TSO ユーザを USS でも使えるように OMVS セグメント追加したい。</t>
        </is>
      </c>
      <c r="E23" s="2" t="inlineStr">
        <is>
          <t>RACF USER class authority</t>
        </is>
      </c>
      <c r="F23" s="2" t="inlineStr">
        <is>
          <t>uc-racf-fac-class, uc-uss-zfs-grow</t>
        </is>
      </c>
    </row>
    <row r="24">
      <c r="A24" s="2" t="inlineStr">
        <is>
          <t>uc-uss-bpxbatch</t>
        </is>
      </c>
      <c r="B24" s="2" t="inlineStr">
        <is>
          <t>BPXBATCH で USS シェルスクリプト実行</t>
        </is>
      </c>
      <c r="C24" s="2" t="inlineStr">
        <is>
          <t>USS</t>
        </is>
      </c>
      <c r="D24" s="2" t="inlineStr">
        <is>
          <t>夜間バッチで USS シェルスクリプトを実行して結果を SYSOUT に出力したい。</t>
        </is>
      </c>
      <c r="E24" s="2" t="inlineStr">
        <is>
          <t>BPXBATCH 利用可能; 対象シェルスクリプト配置済</t>
        </is>
      </c>
      <c r="F24" s="2" t="inlineStr">
        <is>
          <t>uc-uss-omvs-segment, inc-uss-batch</t>
        </is>
      </c>
    </row>
    <row r="25">
      <c r="A25" s="2" t="inlineStr">
        <is>
          <t>uc-vsam-define</t>
        </is>
      </c>
      <c r="B25" s="2" t="inlineStr">
        <is>
          <t>IDCAMS で VSAM KSDS 作成</t>
        </is>
      </c>
      <c r="C25" s="2" t="inlineStr">
        <is>
          <t>DFSMS</t>
        </is>
      </c>
      <c r="D25" s="2" t="inlineStr">
        <is>
          <t>新規業務用 VSAM KSDS を作成し、初期データを REPRO で投入したい。</t>
        </is>
      </c>
      <c r="E25" s="2" t="inlineStr">
        <is>
          <t>Catalog UPDATE 権限; Volume 容量確保</t>
        </is>
      </c>
      <c r="F25" s="2" t="inlineStr">
        <is>
          <t>uc-sms-class-add, inc-vsam-open-fail</t>
        </is>
      </c>
    </row>
    <row r="26">
      <c r="A26" s="2" t="inlineStr">
        <is>
          <t>uc-sms-class-add</t>
        </is>
      </c>
      <c r="B26" s="2" t="inlineStr">
        <is>
          <t>SMS Storage Class を追加</t>
        </is>
      </c>
      <c r="C26" s="2" t="inlineStr">
        <is>
          <t>DFSMS</t>
        </is>
      </c>
      <c r="D26" s="2" t="inlineStr">
        <is>
          <t>新業務用に高性能（SSD）専用 Storage Class を追加して SMS 自動配置させたい。</t>
        </is>
      </c>
      <c r="E26" s="2" t="inlineStr">
        <is>
          <t>ISMF アクセス、SMS 管理者権限</t>
        </is>
      </c>
      <c r="F26" s="2" t="inlineStr">
        <is>
          <t>uc-vsam-define</t>
        </is>
      </c>
    </row>
    <row r="27">
      <c r="A27" s="2" t="inlineStr">
        <is>
          <t>uc-dfsms-hsm-recall</t>
        </is>
      </c>
      <c r="B27" s="2" t="inlineStr">
        <is>
          <t>HSM マイグレ済データセットを RECALL</t>
        </is>
      </c>
      <c r="C27" s="2" t="inlineStr">
        <is>
          <t>DFSMS</t>
        </is>
      </c>
      <c r="D27" s="2" t="inlineStr">
        <is>
          <t>HSM で ML2（テープ）にマイグ済のデータセットを DASD に呼び戻して使いたい。</t>
        </is>
      </c>
      <c r="E27" s="2" t="inlineStr">
        <is>
          <t>DFSMShsm 権限</t>
        </is>
      </c>
      <c r="F27" s="2" t="inlineStr">
        <is>
          <t>uc-vsam-define</t>
        </is>
      </c>
    </row>
    <row r="28">
      <c r="A28" s="2" t="inlineStr">
        <is>
          <t>uc-sysplex-cfrm-update</t>
        </is>
      </c>
      <c r="B28" s="2" t="inlineStr">
        <is>
          <t>CFRM Policy 更新（CF structure 追加）</t>
        </is>
      </c>
      <c r="C28" s="2" t="inlineStr">
        <is>
          <t>Sysplex</t>
        </is>
      </c>
      <c r="D28" s="2" t="inlineStr">
        <is>
          <t>Db2 Group Buffer Pool 等の CF structure を追加して Sysplex 全体に反映したい。</t>
        </is>
      </c>
      <c r="E28" s="2" t="inlineStr">
        <is>
          <t>Sysplex 管理権限; CDS 容量</t>
        </is>
      </c>
      <c r="F28" s="2" t="inlineStr">
        <is>
          <t>uc-grs-rnl-update, inc-sysplex-split</t>
        </is>
      </c>
    </row>
    <row r="29">
      <c r="A29" s="2" t="inlineStr">
        <is>
          <t>uc-wlm-schenv-define</t>
        </is>
      </c>
      <c r="B29" s="2" t="inlineStr">
        <is>
          <t>WLM Scheduling Environment 定義</t>
        </is>
      </c>
      <c r="C29" s="2" t="inlineStr">
        <is>
          <t>WLM</t>
        </is>
      </c>
      <c r="D29" s="2" t="inlineStr">
        <is>
          <t>本番系 LPAR でのみ実行されるべきジョブを SCHENV で制御したい。</t>
        </is>
      </c>
      <c r="E29" s="2" t="inlineStr">
        <is>
          <t>WLM 管理者権限</t>
        </is>
      </c>
      <c r="F29" s="2" t="inlineStr">
        <is>
          <t>uc-jes2-jobclass-define, cfg-wlm-policy</t>
        </is>
      </c>
    </row>
    <row r="30">
      <c r="A30" s="2" t="inlineStr">
        <is>
          <t>uc-stc-autostart</t>
        </is>
      </c>
      <c r="B30" s="2" t="inlineStr">
        <is>
          <t>Started Task の IPL 時自動起動</t>
        </is>
      </c>
      <c r="C30" s="2" t="inlineStr">
        <is>
          <t>PARMLIB</t>
        </is>
      </c>
      <c r="D30" s="2" t="inlineStr">
        <is>
          <t>新規 STC を IPL 時に自動起動させたい。</t>
        </is>
      </c>
      <c r="E30" s="2" t="inlineStr">
        <is>
          <t>PARMLIB 編集権限; PROCLIB に PROC 配置済</t>
        </is>
      </c>
      <c r="F30" s="2" t="inlineStr">
        <is>
          <t>uc-parmlib-iefssn</t>
        </is>
      </c>
    </row>
    <row r="31">
      <c r="A31" s="2" t="inlineStr">
        <is>
          <t>uc-grs-rnl-update</t>
        </is>
      </c>
      <c r="B31" s="2" t="inlineStr">
        <is>
          <t>GRS RNL（Resource Name List）更新</t>
        </is>
      </c>
      <c r="C31" s="2" t="inlineStr">
        <is>
          <t>Sysplex</t>
        </is>
      </c>
      <c r="D31" s="2" t="inlineStr">
        <is>
          <t>RESERVE を発行している legacy リソースを SYSTEMS に変換して Sysplex 性能改善したい。</t>
        </is>
      </c>
      <c r="E31" s="2" t="inlineStr">
        <is>
          <t>Sysplex 管理権限</t>
        </is>
      </c>
      <c r="F31" s="2" t="inlineStr">
        <is>
          <t>cfg-grs-setup, uc-sysplex-cfrm-update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2026-05-04T10:03:42Z</dcterms:created>
  <dcterms:modified xmlns:dcterms="http://purl.org/dc/terms/" xmlns:xsi="http://www.w3.org/2001/XMLSchema-instance" xsi:type="dcterms:W3CDTF">2026-05-04T10:03:42Z</dcterms:modified>
</cp:coreProperties>
</file>